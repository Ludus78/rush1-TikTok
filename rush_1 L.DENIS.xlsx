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Ex1.xml" ContentType="application/vnd.ms-office.chartex+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02"/>
  <fileSharing readOnlyRecommended="1"/>
  <workbookPr/>
  <xr:revisionPtr revIDLastSave="0" documentId="8_{F9148498-0375-4161-811D-5543DB0EF817}" xr6:coauthVersionLast="47" xr6:coauthVersionMax="47" xr10:uidLastSave="{00000000-0000-0000-0000-000000000000}"/>
  <bookViews>
    <workbookView xWindow="0" yWindow="0" windowWidth="0" windowHeight="0" firstSheet="1" activeTab="1" xr2:uid="{00000000-000D-0000-FFFF-FFFF00000000}"/>
  </bookViews>
  <sheets>
    <sheet name="AUDIT" sheetId="1" state="hidden" r:id="rId1"/>
    <sheet name="Executive Summary" sheetId="2" r:id="rId2"/>
    <sheet name="trending_videos" sheetId="3" r:id="rId3"/>
    <sheet name="trending_authors" sheetId="4" r:id="rId4"/>
    <sheet name="tiktok_funny_hashtag_videos" sheetId="5" r:id="rId5"/>
    <sheet name="tiktok_collected_videos" sheetId="6" r:id="rId6"/>
    <sheet name="tiktok_collected_liked_videos" sheetId="7" r:id="rId7"/>
  </sheets>
  <externalReferences>
    <externalReference r:id="rId8"/>
  </externalReferences>
  <definedNames>
    <definedName name="_xlchart.v1.0" hidden="1">'Executive Summary'!$A$27:$B$39</definedName>
    <definedName name="_xlchart.v1.1" hidden="1">'Executive Summary'!$C$26</definedName>
    <definedName name="_xlchart.v1.2" hidden="1">'Executive Summary'!$C$27:$C$39</definedName>
    <definedName name="_xlchart.v1.3" hidden="1">'Executive Summary'!$D$26</definedName>
    <definedName name="_xlchart.v1.4" hidden="1">'Executive Summary'!$D$27:$D$39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67" i="2" l="1"/>
  <c r="B67" i="2"/>
  <c r="G66" i="2"/>
  <c r="C17" i="2"/>
  <c r="B17" i="2"/>
  <c r="C16" i="2"/>
  <c r="B16" i="2"/>
</calcChain>
</file>

<file path=xl/sharedStrings.xml><?xml version="1.0" encoding="utf-8"?>
<sst xmlns="http://schemas.openxmlformats.org/spreadsheetml/2006/main" count="200" uniqueCount="161">
  <si>
    <t>trending_videos : Vidéos tendances globales de la plateforme à un instant T.</t>
  </si>
  <si>
    <t xml:space="preserve">On sait qui like quel video et le commenaitre associé. </t>
  </si>
  <si>
    <t>trending_authors : Profils et métriques des créateurs tendances (abonnés, likes cumulés, etc.).</t>
  </si>
  <si>
    <t xml:space="preserve">Permet d'avoir le nbr d'user unique par et si le mail est vérifié ou pas </t>
  </si>
  <si>
    <t>tiktok_funny_hashtag_videos : Vidéos extraites sous un hashtag spécifique (#funny / humoristique).</t>
  </si>
  <si>
    <t xml:space="preserve">Metrci des videos fun </t>
  </si>
  <si>
    <t>Sur TikTok, l'humour est l'un des formats les plus consommés. L'objectif est de vous permettre de vérifier avec des chiffres concrets :</t>
  </si>
  <si>
    <t>L'humour est-il réellement plus performant que le reste des contenus ?</t>
  </si>
  <si>
    <t>Est-ce qu'une marque a intérêt à adopter ce ton, ou au contraire à s'en éloigner ?</t>
  </si>
  <si>
    <t>tiktok_collected_videos : Vidéos publiées directement par le compte officiel.</t>
  </si>
  <si>
    <r>
      <rPr>
        <b/>
        <sz val="10"/>
        <color theme="1"/>
        <rFont val="Arial"/>
        <scheme val="minor"/>
      </rPr>
      <t>tiktok_collected_liked_videos :  vidéos aimées par le compte officiel de TikTok /</t>
    </r>
    <r>
      <rPr>
        <sz val="10"/>
        <color theme="1"/>
        <rFont val="Arial"/>
        <scheme val="minor"/>
      </rPr>
      <t xml:space="preserve"> Analyser la stratégie de curation (Ce que la plateforme met en avant)</t>
    </r>
  </si>
  <si>
    <t>Évaluer le décalage avec le compte officiel</t>
  </si>
  <si>
    <t>Vous pouvez comparer les performances des vidéos likées par TikTok (tiktok_collected_liked_videos) avec les vidéos publiées par le compte officiel (tiktok_collected_videos).</t>
  </si>
  <si>
    <t>Constat régulier : Les vidéos "corporate" publiées directement par la marque font souvent moins de vues que les contenus de la communauté qu'elle like/soutient.</t>
  </si>
  <si>
    <t>La portée vs la taille du compte : Démontrez avec des chiffres (ex. ratio $Vues / Abonnés$) que l'algorithme TikTok permet à des comptes moyens ou récents d'obtenir des millions de vues.</t>
  </si>
  <si>
    <t>Le potentiel d'engagement : Montrez les taux d'engagement moyens de la plateforme comparés aux standards d'autres réseaux sociaux.</t>
  </si>
  <si>
    <t>2. Partie 2 : Positionnement — Humour vs Autres formats (Comment s'y positionner ?)</t>
  </si>
  <si>
    <t>C'est ici que le fichier tiktok_funny_hashtag_videos prend tout son sens. Vous comparez les métriques du fichier Humour avec celles du fichier Trending général :</t>
  </si>
  <si>
    <t>Métriques clés à comparer :</t>
  </si>
  <si>
    <t>Taux d'engagement moyen ($\frac{Likes + Comments + Shares}{Views}$).</t>
  </si>
  <si>
    <t>Taux de partage (métrique clé pour la viralité).</t>
  </si>
  <si>
    <t>Durée moyenne des vidéos qui performent.</t>
  </si>
  <si>
    <t>Scénarios de décision pour le client :</t>
  </si>
  <si>
    <t>Option A (Humour/Divertissement) : Chiffres prouvant un fort volume de vues et un taux de partage très élevé, idéal pour la notoriété rapide.</t>
  </si>
  <si>
    <t>Option B (Autre / Corporate) : Analyse du risque ou des écarts de performance si la marque choisit de ne pas faire d'humour.</t>
  </si>
  <si>
    <t>3. Restitution dans Excel</t>
  </si>
  <si>
    <t>Onglet 1 (Synthèse / Conclusions) : Vos recommandations chiffrées, la comparaison Humour vs Général et le graphique TreeMap (par exemple : répartition des catégories de contenu/créateurs par volume de vues et engagement).</t>
  </si>
  <si>
    <t>Onglets suivants (Données préparées) : Les données nettoyées et anonymisées (suppression définitive des colonnes/lignes inutiles).</t>
  </si>
  <si>
    <t>Sur le périmètre des données &amp; l'échantillonnage</t>
  </si>
  <si>
    <t>Le biais de l'extraction « Humour » : Le fichier tiktok_funny_hashtag_videos a été extrait via des hashtags spécifiques (ex. #funny). Est-ce représentatif de TOUT l'humour sur TikTok ? Ne manque-t-il pas l'humour absurde, les vidéos d'entreprise décalées ou le second degré sans hashtag ?</t>
  </si>
  <si>
    <t>L'absence de données sectorielles :</t>
  </si>
  <si>
    <t>Vous comparez l'humour à la tendance globale, mais l'humour dans le secteur de votre marque (ex. banque, retail, B2B) a-t-il la même efficacité que des vidéos de chats ou de gags ?</t>
  </si>
  <si>
    <t>2. Sur la définition du « Succès » et l'Humour</t>
  </si>
  <si>
    <t>Vues vs Conversion / Réputation :</t>
  </si>
  <si>
    <t>L'humour génère souvent beaucoup de vues et de partages, mais est-ce que ces vues créent de l'intention d'achat, de la confiance ou de la conversion pour la marque ?</t>
  </si>
  <si>
    <t>Le risque d'image (Bad Buzz) :</t>
  </si>
  <si>
    <t>Faire de l'humour expose la marque à un risque de ton inapproprié. Votre analyse prend-elle en compte le ratio commentaires négatifs / positifs ou le coût de modération ?</t>
  </si>
  <si>
    <t>3. Sur la réponse à l'objection du manager (« Seuls les gros comptes gagnent »)</t>
  </si>
  <si>
    <t>L'effet d'entraînement (Flywheel effect) :</t>
  </si>
  <si>
    <t>Si vous montrez un petit compte qui fait une vidéo à 5 millions de vues, le manager peut rétorquer : « Est-ce un coup de chance isolé (un "one-hit wonder") ou ce créateur arrive-t-il à maintenir ce niveau sans une base d'abonnés solide ? »</t>
  </si>
  <si>
    <t>Régularité vs Viralité ponctuelle :</t>
  </si>
  <si>
    <t>Les gros comptes apportent un plancher de vues garanti à chaque publication. Comment pondérez-vous la régularité d'un gros compte par rapport à la volatilité d'un petit compte viral ?</t>
  </si>
  <si>
    <t>4. Sur les contraintes techniques du livrable</t>
  </si>
  <si>
    <t>Le TreeMap obligatoire : Le client exige un TreeMap où la taille = une valeur et la couleur = une catégorie. Comment ce graphique va-t-il traduire votre arbitrage "Humour vs Autres formats" sans devenir illisible ?</t>
  </si>
  <si>
    <t>RGPD et nettoyage de données : Avez-vous bien supprimé définitivement les pseudos, URLs ou identifiants des extractions inutilisées, ou vous êtes-vous contenté de masquer les feuilles/colonnes (ce qui est interdit par le sujet) ?</t>
  </si>
  <si>
    <t>L'ouverture du fichier Excel : Le fichier s'ouvre-t-il directement sur la synthèse décisionnelle, sans nécessiter de défiler dans des milliers de lignes de données brutes ?</t>
  </si>
  <si>
    <t>. Structure des visualisations à présenter</t>
  </si>
  <si>
    <t>Pour appuyer votre démonstration sans surcharger le classeur, vous pouvez organiser vos graphiques ainsi :</t>
  </si>
  <si>
    <t>Graphique 1 : La comparaison Tendances vs Humour (L'arbitrage de positionnement)</t>
  </si>
  <si>
    <t>Type : Graphique à barres groupées / Histogramme comparatif.</t>
  </si>
  <si>
    <t>Ce qu'il montre :</t>
  </si>
  <si>
    <t>Engagement moyen : 16,3 % (Humour) vs 11,8 % (Tendances).</t>
  </si>
  <si>
    <t>Vues moyennes : 68 M (Humour) vs 23 M (Tendances).</t>
  </si>
  <si>
    <t>Ce que vous dites au manager : « L'humour génère près de 3 fois plus de vues et un engagement nettement supérieur (+4,5 points). C'est le levier privilégié pour la notoriété rapide. »</t>
  </si>
  <si>
    <t>Graphique 2 : TreeMap des catégories (Le zoom sur quoi se focaliser)</t>
  </si>
  <si>
    <t>Type : TreeMap (Graphique hiérarchique exigé par le client).</t>
  </si>
  <si>
    <t>Configuration :</t>
  </si>
  <si>
    <t>Taille : Volume de vues.</t>
  </si>
  <si>
    <t>Couleur : Catégorie (Humour/Pranks, Famille/Enfants, Animaux).</t>
  </si>
  <si>
    <t>Ce que vous dites au manager : « Ce TreeMap prouve que le volume de vues de la niche Humour se concentre principalement sur 3 piliers : les pranks, la famille et les animaux. »</t>
  </si>
  <si>
    <t>Graphique 3 : Analyse des vidéos de la marque (Ce que la marque Like vs Ce qu'elle Publie)</t>
  </si>
  <si>
    <t>Type : Graphique comparatif (Barres ou Camembert de répartition).</t>
  </si>
  <si>
    <t>Ce qu'il montre : Le décalage entre les vidéos publiées par le compte officiel (faible portée) et les vidéos qu'il like (des vidéos virales de créateurs axées sur l'humour, la musique et les tendances courtes).</t>
  </si>
  <si>
    <t>Ce que vous dites au manager : « Le compte officiel valide déjà le créneau de l'humour et du divertissement dans sa curation (ses likes), mais ne l'applique pas encore dans ses propres publications. Il faut aligner notre création de contenu sur nos likes. »</t>
  </si>
  <si>
    <t>2. Script oral de 5 minutes (Minute par minute)</t>
  </si>
  <si>
    <t>Voici votre déroulé chronologique pour la soutenance orale (sans slides, basé uniquement sur le classeur) :</t>
  </si>
  <si>
    <t>Minute 1 : Définition du succès et gestion des données</t>
  </si>
  <si>
    <t>« Bonjour. Pour répondre à notre problématique, j'ai défini le succès via le taux d'engagement ($\frac{Likes + Comments + Shares}{Vues}$) et le ratio de viralité ($\frac{Vues}{Abonnés}$). J'ai conservé les flux Tendances, Humour et Auteurs. J'ai écarté les données privées ou non représentatives pour garantir une conformité RGPD totale et une anonymisation complète des créateurs. »</t>
  </si>
  <si>
    <t>Minute 2 : Réfutation de l'objection du manager</t>
  </si>
  <si>
    <t>« Vous aviez une crainte : que seuls les gros comptes tirent leur épingle du jeu. Les chiffres prouvent le contraire. Le ratio de viralité des comptes de moins de 1 million d'abonnés est de 143, contre seulement 3,5 pour les comptes de plus de 10 millions. Les petits comptes ont donc une capacité de viralité 40 fois supérieure. On peut percer sur TikTok sans avoir une communauté géante au départ. »</t>
  </si>
  <si>
    <t>Minute 3 : Arbitrage du positionnement (Tendances vs Humour)</t>
  </si>
  <si>
    <t>« En comparant la tendance générale et le flux Humour, les résultats sont sans appel. Le flux Humour surperforme avec 16,3 % d'engagement contre 11,8 % pour les tendances, et 68 millions de vues moyennes contre 23 millions. Seul le taux de partage est légèrement plus bas, mais le gain en visibilité globale est massif. »</t>
  </si>
  <si>
    <t>Minute 4 : Présentation du TreeMap (Sur quoi se focaliser)</t>
  </si>
  <si>
    <t>« Comme le montre notre TreeMap, tout l'humour ne se vaut pas. La taille des tuiles montre que le volume de vues est hyper-concentré sur 3 sous-catégories : Humour/Pranks, Famille/Enfants et Animaux. Ce sont ces 3 piliers sur lesquels la marque doit concentrer ses efforts de création. »</t>
  </si>
  <si>
    <t>Minute 5 : Analyse du compte officiel et Recommandation finale</t>
  </si>
  <si>
    <t>« Enfin, l'analyse du compte officiel montre un décalage : les vidéos publiées manquent de portée, alors que les vidéos likées par la marque sont de véritables succès viraux basés sur l'humour et le divertissement. Ma recommandation est d'aligner notre production sur nos likes en adoptant un ton humoristique axé sur la vie quotidienne/famille ou les animaux. »</t>
  </si>
  <si>
    <t>Pour la ligne « Tendances »</t>
  </si>
  <si>
    <t>Où les données sont cherchées : Dans l'onglet trending_videos.</t>
  </si>
  <si>
    <t>Likes, Commentaires, Partages : Colonnes H (n_likes), I (n_shares), J (n_comments).</t>
  </si>
  <si>
    <t>Vues : Colonne K (n_plays).</t>
  </si>
  <si>
    <t>Pourquoi : Cet onglet représente la moyenne globale de ce qui marche sur TikTok à un instant T (la tendance générale). Il sert de groupe de contrôle / point de référence.</t>
  </si>
  <si>
    <t>B. Pour la ligne « Humour »</t>
  </si>
  <si>
    <t>Où les données sont cherchées : Dans l'onglet tiktok_funny_hashtag_videos.</t>
  </si>
  <si>
    <t>Likes, Commentaires, Partages : Colonnes V (video_stats), W (video_shareCount), X (video_commentCount).</t>
  </si>
  <si>
    <t>Sur quel créneau la marque a-t-elle le plus d'intérêt à se positionner ?</t>
  </si>
  <si>
    <r>
      <rPr>
        <b/>
        <sz val="10"/>
        <color rgb="FF000000"/>
        <rFont val="Arial"/>
      </rPr>
      <t>Sélection des sources :</t>
    </r>
    <r>
      <rPr>
        <sz val="10"/>
        <color rgb="FF000000"/>
        <rFont val="Arial"/>
      </rPr>
      <t xml:space="preserve"> L'analyse s'appuie principalement sur l'extraction des vidéos humoristiques (tiktok_funny_hashtag_videos)</t>
    </r>
  </si>
  <si>
    <t>pour qualifier les leviers de performance, mise en regard avec les tendances globales (trending_videos)</t>
  </si>
  <si>
    <t>et l'historique des publications/likes de la marque (tiktok_collected_videos)/(liked_videos)</t>
  </si>
  <si>
    <t>Les onglets d'auteurs bruts (trending_authors)</t>
  </si>
  <si>
    <t>ont été écartés au profit des métriques directes intégrées aux vidéos afin d'éviter les biais de liaison.</t>
  </si>
  <si>
    <r>
      <rPr>
        <b/>
        <sz val="10"/>
        <color rgb="FF000000"/>
        <rFont val="Arial"/>
        <scheme val="minor"/>
      </rPr>
      <t xml:space="preserve">Conclusion &amp; Recommandation stratégique : </t>
    </r>
    <r>
      <rPr>
        <i/>
        <sz val="10"/>
        <color rgb="FF000000"/>
        <rFont val="Arial"/>
        <scheme val="minor"/>
      </rPr>
      <t>(voir graphique Arbitrage Statégique : Tendances vs Humour)</t>
    </r>
  </si>
  <si>
    <r>
      <t xml:space="preserve">Sur un échantillon comparatif de 100 vidéos de chaque côté, </t>
    </r>
    <r>
      <rPr>
        <b/>
        <sz val="10"/>
        <color rgb="FF000000"/>
        <rFont val="Arial"/>
        <scheme val="minor"/>
      </rPr>
      <t>l'humour surperforme nettement</t>
    </r>
    <r>
      <rPr>
        <sz val="10"/>
        <color rgb="FF000000"/>
        <rFont val="Arial"/>
        <scheme val="minor"/>
      </rPr>
      <t xml:space="preserve"> les tendances classiques :</t>
    </r>
  </si>
  <si>
    <r>
      <t xml:space="preserve">il capte </t>
    </r>
    <r>
      <rPr>
        <b/>
        <sz val="10"/>
        <color rgb="FF000000"/>
        <rFont val="Arial"/>
        <scheme val="minor"/>
      </rPr>
      <t>75 % du volume de vues moyen</t>
    </r>
    <r>
      <rPr>
        <sz val="10"/>
        <color rgb="FF000000"/>
        <rFont val="Arial"/>
        <scheme val="minor"/>
      </rPr>
      <t xml:space="preserve"> (68,37 M contre 23,38 M) tout en affichant un taux d'engagement supérieur</t>
    </r>
  </si>
  <si>
    <t xml:space="preserve">(14,30 % contre 11,91 %). La marque a donc tout intérêt à positionner sa stratégie éditoriale sur ce créneau </t>
  </si>
  <si>
    <t>pour maximiser sa portée et son impact.</t>
  </si>
  <si>
    <t>Format</t>
  </si>
  <si>
    <t>Engagement moyen (%)</t>
  </si>
  <si>
    <t>Vues moyennes (M)</t>
  </si>
  <si>
    <t>Tendances</t>
  </si>
  <si>
    <t>Humour</t>
  </si>
  <si>
    <t>Cartographie immersive des contenus (TreeMap) :</t>
  </si>
  <si>
    <t>Ce graphique met en lumière les moteurs de la plateforme en un coup d'œil : plus un bloc est grand, plus il génère de vues, tandis que les couleurs comparent les univers.</t>
  </si>
  <si>
    <t>On y observe clairement la suprématie de l'Humour (notamment sur les blocs « Humour, sketchs &amp; pranks » et « Famille &amp; enfants »), qui domine nettement les tendances classiques tant en volume brut qu'en capacité d'engagement.</t>
  </si>
  <si>
    <t>Catégorie</t>
  </si>
  <si>
    <t>Jeu de données</t>
  </si>
  <si>
    <t>Vues totales</t>
  </si>
  <si>
    <t>Nb vidéos</t>
  </si>
  <si>
    <t>Engagement moyen</t>
  </si>
  <si>
    <t>Animaux</t>
  </si>
  <si>
    <t>Famille &amp; enfants</t>
  </si>
  <si>
    <t>Humour, sketchs &amp; pranks</t>
  </si>
  <si>
    <t>Lifestyle, food &amp; beauté</t>
  </si>
  <si>
    <t>Musique, danse &amp; célébrités</t>
  </si>
  <si>
    <t>Sport</t>
  </si>
  <si>
    <t>Autres / non classé</t>
  </si>
  <si>
    <t>Quel créneau explorer ? Ce que la marque poste vs ce qu'elle like</t>
  </si>
  <si>
    <r>
      <rPr>
        <b/>
        <sz val="10"/>
        <color rgb="FF000000"/>
        <rFont val="Arial"/>
      </rPr>
      <t>Lecture du tableau :</t>
    </r>
    <r>
      <rPr>
        <sz val="10"/>
        <color rgb="FF000000"/>
        <rFont val="Arial"/>
      </rPr>
      <t xml:space="preserve"> Sur un échantillon de 100 vidéos postées par la marque et 100 vidéos likées par elle, on observe un net décalage de stratégie : </t>
    </r>
  </si>
  <si>
    <t>la marque produit en masse du contenu corporate/produit (32 % de ses posts), alors que ses likes soutiennent massivement l'humour, les sketchs et les pranks.</t>
  </si>
  <si>
    <t>Nb posts</t>
  </si>
  <si>
    <t>% posts</t>
  </si>
  <si>
    <t>Nb likes</t>
  </si>
  <si>
    <t>% likes</t>
  </si>
  <si>
    <t>Écart (% likes − % posts)</t>
  </si>
  <si>
    <t>Vues moy. des posts</t>
  </si>
  <si>
    <t>Vues moy. des likes</t>
  </si>
  <si>
    <t>Engagement moy. des likes</t>
  </si>
  <si>
    <t>Annonces &amp; produit TikTok</t>
  </si>
  <si>
    <t>Non classé (sans texte)</t>
  </si>
  <si>
    <t>Total</t>
  </si>
  <si>
    <r>
      <rPr>
        <b/>
        <sz val="10"/>
        <color rgb="FF000000"/>
        <rFont val="Arial"/>
      </rPr>
      <t>Analyse des parts de format :</t>
    </r>
    <r>
      <rPr>
        <sz val="10"/>
        <color rgb="FF000000"/>
        <rFont val="Arial"/>
      </rPr>
      <t xml:space="preserve"> La marque concentre ses publications sur les annonces produits (32 %), </t>
    </r>
  </si>
  <si>
    <r>
      <t>Impact de la curation :</t>
    </r>
    <r>
      <rPr>
        <sz val="10"/>
        <color rgb="FF000000"/>
        <rFont val="Arial"/>
        <scheme val="minor"/>
      </rPr>
      <t xml:space="preserve"> L'engagement des vidéos likées par la marque atteint des sommets</t>
    </r>
  </si>
  <si>
    <t>un format que la communauté ne relaie presque pas (1 %). À l'inverse, elle s'abonne et like des contenus de curation et d'humour</t>
  </si>
  <si>
    <t>(notamment sur les annonces et produits relayés via TikTok à 41,5 M de vues moyennes, ou l'humour à près de 11 M).</t>
  </si>
  <si>
    <t>prouvant un décalage entre sa production interne et ses réelles préférences de spectateur</t>
  </si>
  <si>
    <t>C'est la preuve que la marque a tout intérêt à s'inspirer de la curation de la communauté plutôt que de s'isoler sur des formats corporate.</t>
  </si>
  <si>
    <t>Sélection des données et conformité RGPD</t>
  </si>
  <si>
    <r>
      <t>Sources :</t>
    </r>
    <r>
      <rPr>
        <sz val="12"/>
        <color rgb="FF000000"/>
        <rFont val="Arial"/>
        <scheme val="minor"/>
      </rPr>
      <t xml:space="preserve"> 5 extractions complémentaires utilisées :</t>
    </r>
  </si>
  <si>
    <t>trending_videos (référence général) , tiktok_funny_hashtag_videos (analyse de l'humour et viralité via les abonnés)</t>
  </si>
  <si>
    <t>trending_authors (test de l'impact de la certification)</t>
  </si>
  <si>
    <t>collected_videos &amp; liked_videos (comparatif de la stratégie de publication de la marque vs ses likes). (Aucun fichier écarté, tous étant utiles).</t>
  </si>
  <si>
    <t>Limites &amp; Angles morts :</t>
  </si>
  <si>
    <r>
      <t>Biais de sélection :</t>
    </r>
    <r>
      <rPr>
        <sz val="12"/>
        <color rgb="FF000000"/>
        <rFont val="Arial"/>
        <scheme val="minor"/>
      </rPr>
      <t xml:space="preserve"> Top 100 uniquement (que des contenus déjà performants).</t>
    </r>
  </si>
  <si>
    <r>
      <t>Vision partielle :</t>
    </r>
    <r>
      <rPr>
        <sz val="12"/>
        <color rgb="FF000000"/>
        <rFont val="Arial"/>
        <scheme val="minor"/>
      </rPr>
      <t xml:space="preserve"> Le scraper ne montre que ce que TikTok met en avant à un instant T (données figées de 2021).</t>
    </r>
  </si>
  <si>
    <r>
      <t>Ce qu'elles ignorent :</t>
    </r>
    <r>
      <rPr>
        <sz val="12"/>
        <color rgb="FF000000"/>
        <rFont val="Arial"/>
        <scheme val="minor"/>
      </rPr>
      <t xml:space="preserve"> Le volume de vues mesure la viralité, mais ne quantifie ni l'intention d'achat, ni la conversion réelle pour la marque.</t>
    </r>
  </si>
  <si>
    <r>
      <t>Conformité RGPD.</t>
    </r>
    <r>
      <rPr>
        <i/>
        <sz val="12"/>
        <color rgb="FF000000"/>
        <rFont val="Arial"/>
      </rPr>
      <t xml:space="preserve"> Les données sensibles ont été supprimées définitivement (et non masquées) dans les cinq jeux de données : noms, pseudos, identifiants, liens et descriptions des vidéos. Chaque vidéo est désignée par un identifiant anonyme.</t>
    </r>
  </si>
  <si>
    <t>Seules des mesures agrégeables (vues, likes, partages, commentaires, durée, nombre d'abonnés, statut certifié) et une catégorie de contenu ont été conservées. Ce classeur ne contient aucun lien externe, ni onglet masqué.</t>
  </si>
  <si>
    <t>video_time</t>
  </si>
  <si>
    <t>video_length</t>
  </si>
  <si>
    <t>n_likes</t>
  </si>
  <si>
    <t>n_shares</t>
  </si>
  <si>
    <t>n_comments</t>
  </si>
  <si>
    <t>n_plays</t>
  </si>
  <si>
    <t>Verified?</t>
  </si>
  <si>
    <t>Private Account?</t>
  </si>
  <si>
    <t>author_verification</t>
  </si>
  <si>
    <t>video_duration</t>
  </si>
  <si>
    <t>author_followingCount</t>
  </si>
  <si>
    <t>video_stats</t>
  </si>
  <si>
    <t>video_shareCount</t>
  </si>
  <si>
    <t>video_commentCount</t>
  </si>
  <si>
    <t>video_playCount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</si>
</sst>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
    <numFmt numFmtId="165" formatCode="0.0"/>
    <numFmt numFmtId="166" formatCode="0.0%"/>
  </numFmts>
  <fonts count="41">
    <font>
      <sz val="10"/>
      <color rgb="FF000000"/>
      <name val="Arial"/>
      <scheme val="minor"/>
    </font>
    <font>
      <b/>
      <sz val="10"/>
      <color theme="1"/>
      <name val="&quot;Google Sans Text&quot;"/>
    </font>
    <font>
      <sz val="10"/>
      <color theme="1"/>
      <name val="&quot;Google Sans Text&quot;"/>
    </font>
    <font>
      <sz val="10"/>
      <color theme="1"/>
      <name val="Arial"/>
      <scheme val="minor"/>
    </font>
    <font>
      <b/>
      <sz val="10"/>
      <color theme="1"/>
      <name val="&quot;Google Sans&quot;"/>
    </font>
    <font>
      <i/>
      <sz val="10"/>
      <color theme="1"/>
      <name val="&quot;Google Sans Text&quot;"/>
    </font>
    <font>
      <sz val="14"/>
      <color theme="1"/>
      <name val="Arial"/>
      <scheme val="minor"/>
    </font>
    <font>
      <b/>
      <sz val="14"/>
      <color theme="1"/>
      <name val="&quot;Google Sans&quot;"/>
    </font>
    <font>
      <b/>
      <sz val="18"/>
      <color theme="1"/>
      <name val="&quot;Google Sans Text&quot;"/>
    </font>
    <font>
      <b/>
      <i/>
      <sz val="10"/>
      <color theme="1"/>
      <name val="&quot;Google Sans Text&quot;"/>
    </font>
    <font>
      <b/>
      <i/>
      <sz val="18"/>
      <color theme="1"/>
      <name val="&quot;Google Sans Text&quot;"/>
    </font>
    <font>
      <b/>
      <i/>
      <sz val="14"/>
      <color theme="1"/>
      <name val="&quot;Google Sans&quot;"/>
    </font>
    <font>
      <b/>
      <sz val="18"/>
      <color theme="1"/>
      <name val="&quot;Google Sans&quot;"/>
    </font>
    <font>
      <b/>
      <sz val="14"/>
      <color theme="1"/>
      <name val="&quot;Google Sans Text&quot;"/>
    </font>
    <font>
      <b/>
      <i/>
      <sz val="14"/>
      <color theme="1"/>
      <name val="&quot;Google Sans Text&quot;"/>
    </font>
    <font>
      <b/>
      <i/>
      <sz val="18"/>
      <color theme="1"/>
      <name val="&quot;Google Sans&quot;"/>
    </font>
    <font>
      <b/>
      <sz val="10"/>
      <color theme="1"/>
      <name val="Arial"/>
      <scheme val="minor"/>
    </font>
    <font>
      <sz val="11"/>
      <color theme="1"/>
      <name val="&quot;Google Sans&quot;"/>
    </font>
    <font>
      <sz val="11"/>
      <color theme="1"/>
      <name val="&quot;Google Sans Text&quot;"/>
    </font>
    <font>
      <b/>
      <sz val="11"/>
      <color theme="1"/>
      <name val="&quot;Google Sans Text&quot;"/>
    </font>
    <font>
      <sz val="10"/>
      <color rgb="FF1F1F1F"/>
      <name val="&quot;Google Sans Text&quot;"/>
    </font>
    <font>
      <sz val="11"/>
      <color rgb="FF000000"/>
      <name val="&quot;Google Sans Text&quot;"/>
    </font>
    <font>
      <b/>
      <sz val="10"/>
      <color rgb="FF1F1F1F"/>
      <name val="&quot;Google Sans Text&quot;"/>
    </font>
    <font>
      <b/>
      <sz val="10"/>
      <color rgb="FFFFFFFF"/>
      <name val="Arial"/>
      <charset val="1"/>
    </font>
    <font>
      <sz val="10"/>
      <name val="Arial"/>
      <charset val="1"/>
    </font>
    <font>
      <b/>
      <sz val="12"/>
      <color rgb="FF000000"/>
      <name val="Arial"/>
      <scheme val="minor"/>
    </font>
    <font>
      <b/>
      <sz val="10"/>
      <color rgb="FF000000"/>
      <name val="Arial"/>
      <scheme val="minor"/>
    </font>
    <font>
      <sz val="16"/>
      <color rgb="FF000000"/>
      <name val="Arial"/>
      <scheme val="minor"/>
    </font>
    <font>
      <i/>
      <sz val="10"/>
      <color rgb="FF555555"/>
      <name val="Arial"/>
      <charset val="1"/>
    </font>
    <font>
      <b/>
      <sz val="10"/>
      <name val="Arial"/>
      <charset val="1"/>
    </font>
    <font>
      <b/>
      <sz val="10"/>
      <color rgb="FF000000"/>
      <name val="Arial"/>
    </font>
    <font>
      <sz val="10"/>
      <color rgb="FF000000"/>
      <name val="Arial"/>
    </font>
    <font>
      <sz val="12"/>
      <color rgb="FF000000"/>
      <name val="Arial"/>
      <scheme val="minor"/>
    </font>
    <font>
      <sz val="12"/>
      <color rgb="FF000000"/>
      <name val="&quot;Google Sans Text&quot;"/>
    </font>
    <font>
      <b/>
      <sz val="15"/>
      <color theme="1"/>
      <name val="Arial"/>
      <charset val="1"/>
    </font>
    <font>
      <sz val="11"/>
      <color rgb="FF242424"/>
      <name val="Aptos Narrow"/>
      <charset val="1"/>
    </font>
    <font>
      <i/>
      <sz val="10"/>
      <color rgb="FF000000"/>
      <name val="Arial"/>
      <scheme val="minor"/>
    </font>
    <font>
      <b/>
      <i/>
      <sz val="16"/>
      <color theme="1"/>
      <name val="Arial"/>
    </font>
    <font>
      <b/>
      <i/>
      <sz val="12"/>
      <color rgb="FF000000"/>
      <name val="Arial"/>
    </font>
    <font>
      <i/>
      <sz val="12"/>
      <color rgb="FF000000"/>
      <name val="Arial"/>
    </font>
    <font>
      <i/>
      <sz val="12"/>
      <color rgb="FF242424"/>
      <name val="Aptos Narrow"/>
      <charset val="1"/>
    </font>
  </fonts>
  <fills count="3">
    <fill>
      <patternFill patternType="none"/>
    </fill>
    <fill>
      <patternFill patternType="gray125"/>
    </fill>
    <fill>
      <patternFill patternType="solid">
        <fgColor theme="1" tint="0.499984740745262"/>
        <bgColor indexed="64"/>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C9D1DC"/>
      </left>
      <right style="thin">
        <color rgb="FFC9D1DC"/>
      </right>
      <top style="thin">
        <color rgb="FFC9D1DC"/>
      </top>
      <bottom style="thin">
        <color rgb="FFC9D1DC"/>
      </bottom>
      <diagonal/>
    </border>
    <border>
      <left/>
      <right style="thin">
        <color rgb="FFC9D1DC"/>
      </right>
      <top style="thin">
        <color rgb="FFC9D1DC"/>
      </top>
      <bottom style="thin">
        <color rgb="FFC9D1DC"/>
      </bottom>
      <diagonal/>
    </border>
  </borders>
  <cellStyleXfs count="1">
    <xf numFmtId="0" fontId="0" fillId="0" borderId="0"/>
  </cellStyleXfs>
  <cellXfs count="54">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xf numFmtId="0" fontId="8" fillId="0" borderId="0" xfId="0" applyFont="1"/>
    <xf numFmtId="0" fontId="9" fillId="0" borderId="0" xfId="0" applyFont="1"/>
    <xf numFmtId="0" fontId="10" fillId="0" borderId="0" xfId="0" applyFont="1"/>
    <xf numFmtId="0" fontId="11" fillId="0" borderId="0" xfId="0" applyFont="1"/>
    <xf numFmtId="0" fontId="12" fillId="0" borderId="0" xfId="0" applyFont="1"/>
    <xf numFmtId="0" fontId="13" fillId="0" borderId="0" xfId="0" applyFont="1"/>
    <xf numFmtId="0" fontId="14" fillId="0" borderId="0" xfId="0" applyFont="1"/>
    <xf numFmtId="0" fontId="15" fillId="0" borderId="0" xfId="0" applyFont="1"/>
    <xf numFmtId="0" fontId="17" fillId="0" borderId="0" xfId="0" applyFont="1"/>
    <xf numFmtId="0" fontId="18" fillId="0" borderId="0" xfId="0" applyFont="1"/>
    <xf numFmtId="0" fontId="19" fillId="0" borderId="1" xfId="0" applyFont="1" applyBorder="1"/>
    <xf numFmtId="0" fontId="20" fillId="0" borderId="1" xfId="0" applyFont="1" applyBorder="1"/>
    <xf numFmtId="10" fontId="21" fillId="0" borderId="1" xfId="0" applyNumberFormat="1" applyFont="1" applyBorder="1"/>
    <xf numFmtId="2" fontId="21" fillId="0" borderId="1" xfId="0" applyNumberFormat="1" applyFont="1" applyBorder="1"/>
    <xf numFmtId="0" fontId="22" fillId="0" borderId="1" xfId="0" applyFont="1" applyBorder="1"/>
    <xf numFmtId="0" fontId="24" fillId="0" borderId="0" xfId="0" applyFont="1"/>
    <xf numFmtId="3" fontId="24" fillId="0" borderId="0" xfId="0" applyNumberFormat="1" applyFont="1"/>
    <xf numFmtId="10" fontId="24" fillId="0" borderId="0" xfId="0" applyNumberFormat="1" applyFont="1"/>
    <xf numFmtId="9" fontId="0" fillId="0" borderId="0" xfId="0" applyNumberFormat="1"/>
    <xf numFmtId="0" fontId="22" fillId="0" borderId="0" xfId="0" applyFont="1"/>
    <xf numFmtId="10" fontId="21" fillId="0" borderId="0" xfId="0" applyNumberFormat="1" applyFont="1"/>
    <xf numFmtId="2" fontId="21" fillId="0" borderId="0" xfId="0" applyNumberFormat="1" applyFont="1"/>
    <xf numFmtId="0" fontId="27" fillId="0" borderId="0" xfId="0" applyFont="1"/>
    <xf numFmtId="0" fontId="28" fillId="0" borderId="0" xfId="0" applyFont="1"/>
    <xf numFmtId="0" fontId="24" fillId="0" borderId="2" xfId="0" applyFont="1" applyBorder="1"/>
    <xf numFmtId="9" fontId="24" fillId="0" borderId="2" xfId="0" applyNumberFormat="1" applyFont="1" applyBorder="1"/>
    <xf numFmtId="164" fontId="24" fillId="0" borderId="2" xfId="0" applyNumberFormat="1" applyFont="1" applyBorder="1"/>
    <xf numFmtId="165" fontId="24" fillId="0" borderId="2" xfId="0" applyNumberFormat="1" applyFont="1" applyBorder="1"/>
    <xf numFmtId="166" fontId="24" fillId="0" borderId="2" xfId="0" applyNumberFormat="1" applyFont="1" applyBorder="1"/>
    <xf numFmtId="0" fontId="29" fillId="0" borderId="0" xfId="0" applyFont="1"/>
    <xf numFmtId="1" fontId="24" fillId="0" borderId="2" xfId="0" applyNumberFormat="1" applyFont="1" applyBorder="1"/>
    <xf numFmtId="0" fontId="25" fillId="0" borderId="0" xfId="0" applyFont="1" applyAlignment="1">
      <alignment readingOrder="1"/>
    </xf>
    <xf numFmtId="0" fontId="26" fillId="0" borderId="0" xfId="0" applyFont="1"/>
    <xf numFmtId="0" fontId="30" fillId="0" borderId="0" xfId="0" applyFont="1"/>
    <xf numFmtId="0" fontId="25" fillId="0" borderId="0" xfId="0" applyFont="1"/>
    <xf numFmtId="0" fontId="32" fillId="0" borderId="0" xfId="0" applyFont="1"/>
    <xf numFmtId="10" fontId="33" fillId="0" borderId="0" xfId="0" applyNumberFormat="1" applyFont="1"/>
    <xf numFmtId="0" fontId="34" fillId="0" borderId="0" xfId="0" applyFont="1"/>
    <xf numFmtId="0" fontId="35" fillId="0" borderId="0" xfId="0" applyFont="1"/>
    <xf numFmtId="0" fontId="37" fillId="0" borderId="0" xfId="0" applyFont="1"/>
    <xf numFmtId="0" fontId="32" fillId="0" borderId="0" xfId="0" applyFont="1" applyAlignment="1">
      <alignment vertical="top" wrapText="1"/>
    </xf>
    <xf numFmtId="0" fontId="38" fillId="0" borderId="0" xfId="0" applyFont="1" applyAlignment="1">
      <alignment readingOrder="1"/>
    </xf>
    <xf numFmtId="0" fontId="40" fillId="0" borderId="0" xfId="0" applyFont="1"/>
    <xf numFmtId="0" fontId="23" fillId="2" borderId="2" xfId="0" applyFont="1" applyFill="1" applyBorder="1" applyAlignment="1">
      <alignment horizontal="center" vertical="center" wrapText="1"/>
    </xf>
    <xf numFmtId="0" fontId="23" fillId="2" borderId="2" xfId="0" applyFont="1" applyFill="1" applyBorder="1" applyAlignment="1">
      <alignment wrapText="1"/>
    </xf>
    <xf numFmtId="0" fontId="23" fillId="2" borderId="3" xfId="0" applyFont="1"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1"/>
  <c:style val="2"/>
  <c:chart>
    <c:title>
      <c:tx>
        <c:rich>
          <a:bodyPr/>
          <a:lstStyle/>
          <a:p>
            <a:pPr lvl="0">
              <a:defRPr sz="1400" b="0">
                <a:solidFill>
                  <a:srgbClr val="000000"/>
                </a:solidFill>
                <a:latin typeface="+mn-lt"/>
              </a:defRPr>
            </a:pPr>
            <a:r>
              <a:rPr lang="en-US" b="0">
                <a:solidFill>
                  <a:srgbClr val="757575"/>
                </a:solidFill>
                <a:latin typeface="+mn-lt"/>
              </a:rPr>
              <a:t>Arbitrage Stratégique : Tendances vs Humour</a:t>
            </a:r>
          </a:p>
        </c:rich>
      </c:tx>
      <c:layout>
        <c:manualLayout>
          <c:xMode val="edge"/>
          <c:yMode val="edge"/>
          <c:x val="0.23236809156684568"/>
          <c:y val="2.2506899773733411E-2"/>
        </c:manualLayout>
      </c:layout>
      <c:overlay val="0"/>
    </c:title>
    <c:autoTitleDeleted val="0"/>
    <c:plotArea>
      <c:layout>
        <c:manualLayout>
          <c:xMode val="edge"/>
          <c:yMode val="edge"/>
          <c:x val="0.10020023043005145"/>
          <c:y val="0.13454627133872415"/>
          <c:w val="0.80618583633337382"/>
          <c:h val="0.80480682839173412"/>
        </c:manualLayout>
      </c:layout>
      <c:pieChart>
        <c:varyColors val="1"/>
        <c:ser>
          <c:idx val="0"/>
          <c:order val="0"/>
          <c:tx>
            <c:strRef>
              <c:f>'Executive Summary'!$C$15</c:f>
              <c:strCache>
                <c:ptCount val="1"/>
                <c:pt idx="0">
                  <c:v>Vues moyennes (M)</c:v>
                </c:pt>
              </c:strCache>
            </c:strRef>
          </c:tx>
          <c:dPt>
            <c:idx val="0"/>
            <c:bubble3D val="0"/>
            <c:spPr>
              <a:solidFill>
                <a:srgbClr val="4285F4"/>
              </a:solidFill>
            </c:spPr>
            <c:extLst>
              <c:ext xmlns:c16="http://schemas.microsoft.com/office/drawing/2014/chart" uri="{C3380CC4-5D6E-409C-BE32-E72D297353CC}">
                <c16:uniqueId val="{00000001-E53A-4D7C-B588-14FFB0590CCB}"/>
              </c:ext>
            </c:extLst>
          </c:dPt>
          <c:dPt>
            <c:idx val="1"/>
            <c:bubble3D val="0"/>
            <c:spPr>
              <a:solidFill>
                <a:srgbClr val="EA4335"/>
              </a:solidFill>
            </c:spPr>
            <c:extLst>
              <c:ext xmlns:c16="http://schemas.microsoft.com/office/drawing/2014/chart" uri="{C3380CC4-5D6E-409C-BE32-E72D297353CC}">
                <c16:uniqueId val="{00000003-E53A-4D7C-B588-14FFB0590CCB}"/>
              </c:ext>
            </c:extLst>
          </c:dPt>
          <c:dLbls>
            <c:spPr>
              <a:noFill/>
              <a:ln>
                <a:noFill/>
              </a:ln>
              <a:effectLst/>
            </c:spPr>
            <c:txPr>
              <a:bodyPr wrap="square" lIns="38100" tIns="19050" rIns="38100" bIns="19050" anchor="ctr">
                <a:spAutoFit/>
              </a:bodyPr>
              <a:lstStyle/>
              <a:p>
                <a:pPr>
                  <a:defRPr b="1">
                    <a:solidFill>
                      <a:srgbClr val="FFFFFF"/>
                    </a:solidFill>
                  </a:defRPr>
                </a:pPr>
                <a:endParaRPr lang="en-US"/>
              </a:p>
            </c:txPr>
            <c:dLblPos val="ctr"/>
            <c:showLegendKey val="0"/>
            <c:showVal val="0"/>
            <c:showCatName val="0"/>
            <c:showSerName val="0"/>
            <c:showPercent val="1"/>
            <c:showBubbleSize val="0"/>
            <c:showLeaderLines val="1"/>
            <c:extLst>
              <c:ext xmlns:c15="http://schemas.microsoft.com/office/drawing/2012/chart" uri="{CE6537A1-D6FC-4f65-9D91-7224C49458BB}"/>
            </c:extLst>
          </c:dLbls>
          <c:cat>
            <c:strRef>
              <c:f>'Executive Summary'!$A$16:$A$17</c:f>
              <c:strCache>
                <c:ptCount val="2"/>
                <c:pt idx="0">
                  <c:v>Tendances</c:v>
                </c:pt>
                <c:pt idx="1">
                  <c:v>Humour</c:v>
                </c:pt>
              </c:strCache>
            </c:strRef>
          </c:cat>
          <c:val>
            <c:numRef>
              <c:f>'Executive Summary'!$C$16:$C$17</c:f>
              <c:numCache>
                <c:formatCode>0.00</c:formatCode>
                <c:ptCount val="2"/>
                <c:pt idx="0">
                  <c:v>23.384910999999999</c:v>
                </c:pt>
                <c:pt idx="1">
                  <c:v>68.369</c:v>
                </c:pt>
              </c:numCache>
            </c:numRef>
          </c:val>
          <c:extLst>
            <c:ext xmlns:c16="http://schemas.microsoft.com/office/drawing/2014/chart" uri="{C3380CC4-5D6E-409C-BE32-E72D297353CC}">
              <c16:uniqueId val="{00000004-E53A-4D7C-B588-14FFB0590CCB}"/>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Part des vidéos par catégorie : postées vs likées par la marque</a:t>
            </a:r>
          </a:p>
        </c:rich>
      </c:tx>
      <c:overlay val="0"/>
      <c:spPr>
        <a:noFill/>
        <a:ln w="0">
          <a:noFill/>
        </a:ln>
      </c:spPr>
    </c:title>
    <c:autoTitleDeleted val="0"/>
    <c:plotArea>
      <c:layout/>
      <c:barChart>
        <c:barDir val="bar"/>
        <c:grouping val="clustered"/>
        <c:varyColors val="0"/>
        <c:ser>
          <c:idx val="0"/>
          <c:order val="0"/>
          <c:tx>
            <c:strRef>
              <c:f>[1]Créneau_Marque!C4</c:f>
              <c:strCache>
                <c:ptCount val="1"/>
                <c:pt idx="0">
                  <c:v>% posts</c:v>
                </c:pt>
              </c:strCache>
            </c:strRef>
          </c:tx>
          <c:spPr>
            <a:solidFill>
              <a:srgbClr val="9AA5B1"/>
            </a:solidFill>
            <a:ln w="0">
              <a:no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[1]Créneau_Marque!$A$5:$A$11</c:f>
              <c:strCache>
                <c:ptCount val="7"/>
                <c:pt idx="0">
                  <c:v>Humour, sketchs &amp; pranks</c:v>
                </c:pt>
                <c:pt idx="1">
                  <c:v>Musique, danse &amp; célébrités</c:v>
                </c:pt>
                <c:pt idx="2">
                  <c:v>Sport</c:v>
                </c:pt>
                <c:pt idx="3">
                  <c:v>Famille &amp; enfants</c:v>
                </c:pt>
                <c:pt idx="4">
                  <c:v>Animaux</c:v>
                </c:pt>
                <c:pt idx="5">
                  <c:v>Lifestyle, food &amp; beauté</c:v>
                </c:pt>
                <c:pt idx="6">
                  <c:v>Annonces &amp; produit TikTok</c:v>
                </c:pt>
              </c:strCache>
            </c:strRef>
          </c:cat>
          <c:val>
            <c:numRef>
              <c:f>[1]Créneau_Marque!$C$5:$C$11</c:f>
              <c:numCache>
                <c:formatCode>General</c:formatCode>
                <c:ptCount val="7"/>
                <c:pt idx="0">
                  <c:v>0.02</c:v>
                </c:pt>
                <c:pt idx="1">
                  <c:v>0.27</c:v>
                </c:pt>
                <c:pt idx="2">
                  <c:v>7.0000000000000007E-2</c:v>
                </c:pt>
                <c:pt idx="3">
                  <c:v>0.01</c:v>
                </c:pt>
                <c:pt idx="4">
                  <c:v>0.06</c:v>
                </c:pt>
                <c:pt idx="5">
                  <c:v>0.18</c:v>
                </c:pt>
                <c:pt idx="6">
                  <c:v>0.32</c:v>
                </c:pt>
              </c:numCache>
            </c:numRef>
          </c:val>
          <c:extLst>
            <c:ext xmlns:c16="http://schemas.microsoft.com/office/drawing/2014/chart" uri="{C3380CC4-5D6E-409C-BE32-E72D297353CC}">
              <c16:uniqueId val="{00000000-1763-428E-873A-5517B7CFFFC9}"/>
            </c:ext>
          </c:extLst>
        </c:ser>
        <c:ser>
          <c:idx val="1"/>
          <c:order val="1"/>
          <c:tx>
            <c:strRef>
              <c:f>[1]Créneau_Marque!E4</c:f>
              <c:strCache>
                <c:ptCount val="1"/>
                <c:pt idx="0">
                  <c:v>% likes</c:v>
                </c:pt>
              </c:strCache>
            </c:strRef>
          </c:tx>
          <c:spPr>
            <a:solidFill>
              <a:srgbClr val="FF6F3C"/>
            </a:solidFill>
            <a:ln w="0">
              <a:no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[1]Créneau_Marque!$A$5:$A$11</c:f>
              <c:strCache>
                <c:ptCount val="7"/>
                <c:pt idx="0">
                  <c:v>Humour, sketchs &amp; pranks</c:v>
                </c:pt>
                <c:pt idx="1">
                  <c:v>Musique, danse &amp; célébrités</c:v>
                </c:pt>
                <c:pt idx="2">
                  <c:v>Sport</c:v>
                </c:pt>
                <c:pt idx="3">
                  <c:v>Famille &amp; enfants</c:v>
                </c:pt>
                <c:pt idx="4">
                  <c:v>Animaux</c:v>
                </c:pt>
                <c:pt idx="5">
                  <c:v>Lifestyle, food &amp; beauté</c:v>
                </c:pt>
                <c:pt idx="6">
                  <c:v>Annonces &amp; produit TikTok</c:v>
                </c:pt>
              </c:strCache>
            </c:strRef>
          </c:cat>
          <c:val>
            <c:numRef>
              <c:f>[1]Créneau_Marque!$E$5:$E$11</c:f>
              <c:numCache>
                <c:formatCode>General</c:formatCode>
                <c:ptCount val="7"/>
                <c:pt idx="0">
                  <c:v>0.16</c:v>
                </c:pt>
                <c:pt idx="1">
                  <c:v>0.28999999999999998</c:v>
                </c:pt>
                <c:pt idx="2">
                  <c:v>0.12</c:v>
                </c:pt>
                <c:pt idx="3">
                  <c:v>7.0000000000000007E-2</c:v>
                </c:pt>
                <c:pt idx="4">
                  <c:v>0.04</c:v>
                </c:pt>
                <c:pt idx="5">
                  <c:v>7.0000000000000007E-2</c:v>
                </c:pt>
                <c:pt idx="6">
                  <c:v>0.01</c:v>
                </c:pt>
              </c:numCache>
            </c:numRef>
          </c:val>
          <c:extLst>
            <c:ext xmlns:c16="http://schemas.microsoft.com/office/drawing/2014/chart" uri="{C3380CC4-5D6E-409C-BE32-E72D297353CC}">
              <c16:uniqueId val="{00000001-1763-428E-873A-5517B7CFFFC9}"/>
            </c:ext>
          </c:extLst>
        </c:ser>
        <c:dLbls>
          <c:showLegendKey val="0"/>
          <c:showVal val="0"/>
          <c:showCatName val="0"/>
          <c:showSerName val="0"/>
          <c:showPercent val="0"/>
          <c:showBubbleSize val="0"/>
        </c:dLbls>
        <c:gapWidth val="150"/>
        <c:axId val="89053063"/>
        <c:axId val="75913801"/>
      </c:barChart>
      <c:catAx>
        <c:axId val="89053063"/>
        <c:scaling>
          <c:orientation val="maxMin"/>
        </c:scaling>
        <c:delete val="0"/>
        <c:axPos val="l"/>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75913801"/>
        <c:crosses val="autoZero"/>
        <c:auto val="1"/>
        <c:lblAlgn val="ctr"/>
        <c:lblOffset val="100"/>
        <c:noMultiLvlLbl val="0"/>
      </c:catAx>
      <c:valAx>
        <c:axId val="75913801"/>
        <c:scaling>
          <c:orientation val="minMax"/>
        </c:scaling>
        <c:delete val="0"/>
        <c:axPos val="t"/>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89053063"/>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Vues moyennes des vidéos likées par catégorie (millions)</a:t>
            </a:r>
          </a:p>
        </c:rich>
      </c:tx>
      <c:overlay val="0"/>
      <c:spPr>
        <a:noFill/>
        <a:ln w="0">
          <a:noFill/>
        </a:ln>
      </c:spPr>
    </c:title>
    <c:autoTitleDeleted val="0"/>
    <c:plotArea>
      <c:layout/>
      <c:barChart>
        <c:barDir val="col"/>
        <c:grouping val="clustered"/>
        <c:varyColors val="0"/>
        <c:ser>
          <c:idx val="0"/>
          <c:order val="0"/>
          <c:tx>
            <c:strRef>
              <c:f>[1]Créneau_Marque!H4</c:f>
              <c:strCache>
                <c:ptCount val="1"/>
                <c:pt idx="0">
                  <c:v>Vues moy. des likes</c:v>
                </c:pt>
              </c:strCache>
            </c:strRef>
          </c:tx>
          <c:spPr>
            <a:solidFill>
              <a:srgbClr val="FF6F3C"/>
            </a:solidFill>
            <a:ln w="0">
              <a:no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[1]Créneau_Marque!$A$5:$A$11</c:f>
              <c:strCache>
                <c:ptCount val="7"/>
                <c:pt idx="0">
                  <c:v>Humour, sketchs &amp; pranks</c:v>
                </c:pt>
                <c:pt idx="1">
                  <c:v>Musique, danse &amp; célébrités</c:v>
                </c:pt>
                <c:pt idx="2">
                  <c:v>Sport</c:v>
                </c:pt>
                <c:pt idx="3">
                  <c:v>Famille &amp; enfants</c:v>
                </c:pt>
                <c:pt idx="4">
                  <c:v>Animaux</c:v>
                </c:pt>
                <c:pt idx="5">
                  <c:v>Lifestyle, food &amp; beauté</c:v>
                </c:pt>
                <c:pt idx="6">
                  <c:v>Annonces &amp; produit TikTok</c:v>
                </c:pt>
              </c:strCache>
            </c:strRef>
          </c:cat>
          <c:val>
            <c:numRef>
              <c:f>[1]Créneau_Marque!$H$5:$H$11</c:f>
              <c:numCache>
                <c:formatCode>General</c:formatCode>
                <c:ptCount val="7"/>
                <c:pt idx="0">
                  <c:v>20.933125</c:v>
                </c:pt>
                <c:pt idx="1">
                  <c:v>9.6034754827586202</c:v>
                </c:pt>
                <c:pt idx="2">
                  <c:v>10.212975</c:v>
                </c:pt>
                <c:pt idx="3">
                  <c:v>12.1107</c:v>
                </c:pt>
                <c:pt idx="4">
                  <c:v>13.096575</c:v>
                </c:pt>
                <c:pt idx="5">
                  <c:v>10.9374428571429</c:v>
                </c:pt>
                <c:pt idx="6">
                  <c:v>41.5</c:v>
                </c:pt>
              </c:numCache>
            </c:numRef>
          </c:val>
          <c:extLst>
            <c:ext xmlns:c16="http://schemas.microsoft.com/office/drawing/2014/chart" uri="{C3380CC4-5D6E-409C-BE32-E72D297353CC}">
              <c16:uniqueId val="{00000000-98DF-4CE8-B970-13B3790A0807}"/>
            </c:ext>
          </c:extLst>
        </c:ser>
        <c:dLbls>
          <c:showLegendKey val="0"/>
          <c:showVal val="0"/>
          <c:showCatName val="0"/>
          <c:showSerName val="0"/>
          <c:showPercent val="0"/>
          <c:showBubbleSize val="0"/>
        </c:dLbls>
        <c:gapWidth val="150"/>
        <c:axId val="85487324"/>
        <c:axId val="6058004"/>
      </c:barChart>
      <c:catAx>
        <c:axId val="85487324"/>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6058004"/>
        <c:crosses val="autoZero"/>
        <c:auto val="1"/>
        <c:lblAlgn val="ctr"/>
        <c:lblOffset val="100"/>
        <c:noMultiLvlLbl val="0"/>
      </c:catAx>
      <c:valAx>
        <c:axId val="6058004"/>
        <c:scaling>
          <c:orientation val="minMax"/>
        </c:scaling>
        <c:delete val="0"/>
        <c:axPos val="l"/>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85487324"/>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data id="1">
      <cx:strDim type="cat">
        <cx:f>_xlchart.v1.0</cx:f>
      </cx:strDim>
      <cx:numDim type="size">
        <cx:f>_xlchart.v1.4</cx:f>
      </cx:numDim>
    </cx:data>
  </cx:chartData>
  <cx:chart>
    <cx:title pos="t" align="ctr" overlay="0">
      <cx:tx>
        <cx:txData>
          <cx:v>Volume de vues par catégorie de contenu (taille = vues, couleur = catégorie)</cx:v>
        </cx:txData>
      </cx:tx>
      <cx:txPr>
        <a:bodyPr vertOverflow="overflow" horzOverflow="overflow" wrap="square" lIns="0" tIns="0" rIns="0" bIns="0"/>
        <a:lstStyle/>
        <a:p>
          <a:pPr algn="ctr" rtl="0">
            <a:defRPr sz="1400" b="0" i="0">
              <a:solidFill>
                <a:srgbClr val="7F7F7F"/>
              </a:solidFill>
              <a:latin typeface="Calibri" panose="020F0502020204030204" pitchFamily="34" charset="0"/>
              <a:ea typeface="Calibri" panose="020F0502020204030204" pitchFamily="34" charset="0"/>
              <a:cs typeface="Calibri" panose="020F0502020204030204" pitchFamily="34" charset="0"/>
            </a:defRPr>
          </a:pPr>
          <a:r>
            <a:t>Volume de vues par catégorie de contenu (taille = vues, couleur = catégorie)</a:t>
          </a:r>
        </a:p>
      </cx:txPr>
    </cx:title>
    <cx:plotArea>
      <cx:plotAreaRegion>
        <cx:series layoutId="treemap" uniqueId="{00000000-9415-4C44-A4B7-602615B4593E}" formatIdx="0">
          <cx:tx>
            <cx:txData>
              <cx:f>_xlchart.v1.1</cx:f>
              <cx:v>Vues totales</cx:v>
            </cx:txData>
          </cx:tx>
          <cx:dataLabels pos="inEnd">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visibility seriesName="0" categoryName="1" value="0"/>
          </cx:dataLabels>
          <cx:dataId val="0"/>
          <cx:layoutPr>
            <cx:parentLabelLayout val="overlapping"/>
          </cx:layoutPr>
        </cx:series>
        <cx:series layoutId="treemap" hidden="1" uniqueId="{00000001-9415-4C44-A4B7-602615B4593E}" formatIdx="1">
          <cx:tx>
            <cx:txData>
              <cx:f>_xlchart.v1.3</cx:f>
              <cx:v>Nb vidéos</cx:v>
            </cx:txData>
          </cx:tx>
          <cx:dataLabels pos="inEnd">
            <cx:visibility seriesName="0" categoryName="1" value="0"/>
          </cx:dataLabels>
          <cx:dataId val="1"/>
          <cx:layoutPr>
            <cx:parentLabelLayout val="overlapping"/>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oneCellAnchor>
    <xdr:from>
      <xdr:col>7</xdr:col>
      <xdr:colOff>123825</xdr:colOff>
      <xdr:row>1</xdr:row>
      <xdr:rowOff>85725</xdr:rowOff>
    </xdr:from>
    <xdr:ext cx="6562725" cy="3533775"/>
    <xdr:graphicFrame macro="">
      <xdr:nvGraphicFramePr>
        <xdr:cNvPr id="2" name="Chart 1" title="Graphique">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twoCellAnchor>
    <xdr:from>
      <xdr:col>0</xdr:col>
      <xdr:colOff>0</xdr:colOff>
      <xdr:row>73</xdr:row>
      <xdr:rowOff>40665</xdr:rowOff>
    </xdr:from>
    <xdr:to>
      <xdr:col>5</xdr:col>
      <xdr:colOff>636840</xdr:colOff>
      <xdr:row>94</xdr:row>
      <xdr:rowOff>59880</xdr:rowOff>
    </xdr:to>
    <xdr:graphicFrame macro="">
      <xdr:nvGraphicFramePr>
        <xdr:cNvPr id="4" name="Chart 1">
          <a:extLst>
            <a:ext uri="{FF2B5EF4-FFF2-40B4-BE49-F238E27FC236}">
              <a16:creationId xmlns:a16="http://schemas.microsoft.com/office/drawing/2014/main" id="{0129B715-91B7-48EB-8DB7-0AC563D29B17}"/>
            </a:ext>
            <a:ext uri="{147F2762-F138-4A5C-976F-8EAC2B608ADB}">
              <a16:predDERef xmlns:a16="http://schemas.microsoft.com/office/drawing/2014/main" pred="{00000000-0008-0000-01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0</xdr:colOff>
      <xdr:row>73</xdr:row>
      <xdr:rowOff>40665</xdr:rowOff>
    </xdr:from>
    <xdr:to>
      <xdr:col>17</xdr:col>
      <xdr:colOff>4695</xdr:colOff>
      <xdr:row>94</xdr:row>
      <xdr:rowOff>59880</xdr:rowOff>
    </xdr:to>
    <xdr:graphicFrame macro="">
      <xdr:nvGraphicFramePr>
        <xdr:cNvPr id="5" name="Chart 2">
          <a:extLst>
            <a:ext uri="{FF2B5EF4-FFF2-40B4-BE49-F238E27FC236}">
              <a16:creationId xmlns:a16="http://schemas.microsoft.com/office/drawing/2014/main" id="{BF75B452-630B-4412-B692-D8C918932ACA}"/>
            </a:ext>
            <a:ext uri="{147F2762-F138-4A5C-976F-8EAC2B608ADB}">
              <a16:predDERef xmlns:a16="http://schemas.microsoft.com/office/drawing/2014/main" pred="{0129B715-91B7-48EB-8DB7-0AC563D29B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571500</xdr:colOff>
      <xdr:row>25</xdr:row>
      <xdr:rowOff>57150</xdr:rowOff>
    </xdr:from>
    <xdr:to>
      <xdr:col>11</xdr:col>
      <xdr:colOff>228600</xdr:colOff>
      <xdr:row>49</xdr:row>
      <xdr:rowOff>190500</xdr:rowOff>
    </xdr:to>
    <mc:AlternateContent xmlns:mc="http://schemas.openxmlformats.org/markup-compatibility/2006">
      <mc:Choice xmlns:cx1="http://schemas.microsoft.com/office/drawing/2015/9/8/chartex" Requires="cx1">
        <xdr:graphicFrame macro="">
          <xdr:nvGraphicFramePr>
            <xdr:cNvPr id="6" name="Graphique 5">
              <a:extLst>
                <a:ext uri="{FF2B5EF4-FFF2-40B4-BE49-F238E27FC236}">
                  <a16:creationId xmlns:a16="http://schemas.microsoft.com/office/drawing/2014/main" id="{86B343C4-15CD-69F3-C42C-9E1E09A9FC75}"/>
                </a:ext>
                <a:ext uri="{147F2762-F138-4A5C-976F-8EAC2B608ADB}">
                  <a16:predDERef xmlns:a16="http://schemas.microsoft.com/office/drawing/2014/main" pred="{BF75B452-630B-4412-B692-D8C918932AC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sz="1100"/>
                <a:t>Ce graphique n’est pas disponible dans votre version d’Excel.
La modification de cette forme ou l’enregistrement de ce classeur dans un autre format de fichier endommagera le graphique de façon irréparable.</a:t>
              </a:r>
            </a:p>
          </xdr:txBody>
        </xdr:sp>
      </mc:Fallback>
    </mc:AlternateContent>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epitechfr-my.sharepoint.com/personal/ludovic_denis_epitech_eu/Documents/graphique3_creneau_marque.xlsx" TargetMode="External"/><Relationship Id="rId1" Type="http://schemas.openxmlformats.org/officeDocument/2006/relationships/externalLinkPath" Target="graphique3_creneau_marqu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4b3owXQM-0SpRCGqueysoC_kDsjk6O9MqPpBgH-2de7Wzz6sNXfVRrFnHxNFAq2f" itemId="01ME7FRKLZ7WSIVRAINRB3T5XEWW6ZQIAI">
      <xxl21:absoluteUrl r:id="rId2"/>
    </xxl21:alternateUrls>
    <sheetNames>
      <sheetName val="Créneau_Marque"/>
      <sheetName val="Données_Marque"/>
    </sheetNames>
    <sheetDataSet>
      <sheetData sheetId="0">
        <row r="4">
          <cell r="C4" t="str">
            <v>% posts</v>
          </cell>
          <cell r="E4" t="str">
            <v>% likes</v>
          </cell>
          <cell r="H4" t="str">
            <v>Vues moy. des likes</v>
          </cell>
        </row>
        <row r="5">
          <cell r="A5" t="str">
            <v>Humour, sketchs &amp; pranks</v>
          </cell>
          <cell r="C5">
            <v>0.02</v>
          </cell>
          <cell r="E5">
            <v>0.16</v>
          </cell>
          <cell r="H5">
            <v>20.933125</v>
          </cell>
        </row>
        <row r="6">
          <cell r="A6" t="str">
            <v>Musique, danse &amp; célébrités</v>
          </cell>
          <cell r="C6">
            <v>0.27</v>
          </cell>
          <cell r="E6">
            <v>0.28999999999999998</v>
          </cell>
          <cell r="H6">
            <v>9.6034754827586202</v>
          </cell>
        </row>
        <row r="7">
          <cell r="A7" t="str">
            <v>Sport</v>
          </cell>
          <cell r="C7">
            <v>7.0000000000000007E-2</v>
          </cell>
          <cell r="E7">
            <v>0.12</v>
          </cell>
          <cell r="H7">
            <v>10.212975</v>
          </cell>
        </row>
        <row r="8">
          <cell r="A8" t="str">
            <v>Famille &amp; enfants</v>
          </cell>
          <cell r="C8">
            <v>0.01</v>
          </cell>
          <cell r="E8">
            <v>7.0000000000000007E-2</v>
          </cell>
          <cell r="H8">
            <v>12.1107</v>
          </cell>
        </row>
        <row r="9">
          <cell r="A9" t="str">
            <v>Animaux</v>
          </cell>
          <cell r="C9">
            <v>0.06</v>
          </cell>
          <cell r="E9">
            <v>0.04</v>
          </cell>
          <cell r="H9">
            <v>13.096575</v>
          </cell>
        </row>
        <row r="10">
          <cell r="A10" t="str">
            <v>Lifestyle, food &amp; beauté</v>
          </cell>
          <cell r="C10">
            <v>0.18</v>
          </cell>
          <cell r="E10">
            <v>7.0000000000000007E-2</v>
          </cell>
          <cell r="H10">
            <v>10.9374428571429</v>
          </cell>
        </row>
        <row r="11">
          <cell r="A11" t="str">
            <v>Annonces &amp; produit TikTok</v>
          </cell>
          <cell r="C11">
            <v>0.32</v>
          </cell>
          <cell r="E11">
            <v>0.01</v>
          </cell>
          <cell r="H11">
            <v>41.5</v>
          </cell>
        </row>
      </sheetData>
      <sheetData sheetId="1">
        <row r="2">
          <cell r="B2" t="str">
            <v>Posté par la marque</v>
          </cell>
          <cell r="C2" t="str">
            <v>Humour, sketchs &amp; pranks</v>
          </cell>
          <cell r="H2">
            <v>3100000</v>
          </cell>
        </row>
        <row r="3">
          <cell r="B3" t="str">
            <v>Posté par la marque</v>
          </cell>
          <cell r="C3" t="str">
            <v>Musique, danse &amp; célébrités</v>
          </cell>
          <cell r="H3">
            <v>963000</v>
          </cell>
        </row>
        <row r="4">
          <cell r="B4" t="str">
            <v>Posté par la marque</v>
          </cell>
          <cell r="C4" t="str">
            <v>Musique, danse &amp; célébrités</v>
          </cell>
          <cell r="H4">
            <v>925900</v>
          </cell>
        </row>
        <row r="5">
          <cell r="B5" t="str">
            <v>Posté par la marque</v>
          </cell>
          <cell r="C5" t="str">
            <v>Lifestyle, food &amp; beauté</v>
          </cell>
          <cell r="H5">
            <v>11800000</v>
          </cell>
        </row>
        <row r="6">
          <cell r="B6" t="str">
            <v>Posté par la marque</v>
          </cell>
          <cell r="C6" t="str">
            <v>Sport</v>
          </cell>
          <cell r="H6">
            <v>1500000</v>
          </cell>
        </row>
        <row r="7">
          <cell r="B7" t="str">
            <v>Posté par la marque</v>
          </cell>
          <cell r="C7" t="str">
            <v>Sport</v>
          </cell>
          <cell r="H7">
            <v>1100000</v>
          </cell>
        </row>
        <row r="8">
          <cell r="B8" t="str">
            <v>Posté par la marque</v>
          </cell>
          <cell r="C8" t="str">
            <v>Famille &amp; enfants</v>
          </cell>
          <cell r="H8">
            <v>1400000</v>
          </cell>
        </row>
        <row r="9">
          <cell r="B9" t="str">
            <v>Posté par la marque</v>
          </cell>
          <cell r="C9" t="str">
            <v>Musique, danse &amp; célébrités</v>
          </cell>
          <cell r="H9">
            <v>821700</v>
          </cell>
        </row>
        <row r="10">
          <cell r="B10" t="str">
            <v>Posté par la marque</v>
          </cell>
          <cell r="C10" t="str">
            <v>Annonces &amp; produit TikTok</v>
          </cell>
          <cell r="H10">
            <v>3200000</v>
          </cell>
        </row>
        <row r="11">
          <cell r="B11" t="str">
            <v>Posté par la marque</v>
          </cell>
          <cell r="C11" t="str">
            <v>Sport</v>
          </cell>
          <cell r="H11">
            <v>2400000</v>
          </cell>
        </row>
        <row r="12">
          <cell r="B12" t="str">
            <v>Posté par la marque</v>
          </cell>
          <cell r="C12" t="str">
            <v>Lifestyle, food &amp; beauté</v>
          </cell>
          <cell r="H12">
            <v>42800000</v>
          </cell>
        </row>
        <row r="13">
          <cell r="B13" t="str">
            <v>Posté par la marque</v>
          </cell>
          <cell r="C13" t="str">
            <v>Animaux</v>
          </cell>
          <cell r="H13">
            <v>901700</v>
          </cell>
        </row>
        <row r="14">
          <cell r="B14" t="str">
            <v>Posté par la marque</v>
          </cell>
          <cell r="C14" t="str">
            <v>Musique, danse &amp; célébrités</v>
          </cell>
          <cell r="H14">
            <v>1400000</v>
          </cell>
        </row>
        <row r="15">
          <cell r="B15" t="str">
            <v>Posté par la marque</v>
          </cell>
          <cell r="C15" t="str">
            <v>Sport</v>
          </cell>
          <cell r="H15">
            <v>1500000</v>
          </cell>
        </row>
        <row r="16">
          <cell r="B16" t="str">
            <v>Posté par la marque</v>
          </cell>
          <cell r="C16" t="str">
            <v>Musique, danse &amp; célébrités</v>
          </cell>
          <cell r="H16">
            <v>574800</v>
          </cell>
        </row>
        <row r="17">
          <cell r="B17" t="str">
            <v>Posté par la marque</v>
          </cell>
          <cell r="C17" t="str">
            <v>Musique, danse &amp; célébrités</v>
          </cell>
          <cell r="H17">
            <v>6200000</v>
          </cell>
        </row>
        <row r="18">
          <cell r="B18" t="str">
            <v>Posté par la marque</v>
          </cell>
          <cell r="C18" t="str">
            <v>Lifestyle, food &amp; beauté</v>
          </cell>
          <cell r="H18">
            <v>1800000</v>
          </cell>
        </row>
        <row r="19">
          <cell r="B19" t="str">
            <v>Posté par la marque</v>
          </cell>
          <cell r="C19" t="str">
            <v>Musique, danse &amp; célébrités</v>
          </cell>
          <cell r="H19">
            <v>830400</v>
          </cell>
        </row>
        <row r="20">
          <cell r="B20" t="str">
            <v>Posté par la marque</v>
          </cell>
          <cell r="C20" t="str">
            <v>Annonces &amp; produit TikTok</v>
          </cell>
          <cell r="H20">
            <v>865700</v>
          </cell>
        </row>
        <row r="21">
          <cell r="B21" t="str">
            <v>Posté par la marque</v>
          </cell>
          <cell r="C21" t="str">
            <v>Sport</v>
          </cell>
          <cell r="H21">
            <v>1200000</v>
          </cell>
        </row>
        <row r="22">
          <cell r="B22" t="str">
            <v>Posté par la marque</v>
          </cell>
          <cell r="C22" t="str">
            <v>Musique, danse &amp; célébrités</v>
          </cell>
          <cell r="H22">
            <v>3500000</v>
          </cell>
        </row>
        <row r="23">
          <cell r="B23" t="str">
            <v>Posté par la marque</v>
          </cell>
          <cell r="C23" t="str">
            <v>Annonces &amp; produit TikTok</v>
          </cell>
          <cell r="H23">
            <v>964800</v>
          </cell>
        </row>
        <row r="24">
          <cell r="B24" t="str">
            <v>Posté par la marque</v>
          </cell>
          <cell r="C24" t="str">
            <v>Musique, danse &amp; célébrités</v>
          </cell>
          <cell r="H24">
            <v>954000</v>
          </cell>
        </row>
        <row r="25">
          <cell r="B25" t="str">
            <v>Posté par la marque</v>
          </cell>
          <cell r="C25" t="str">
            <v>Sport</v>
          </cell>
          <cell r="H25">
            <v>2200000</v>
          </cell>
        </row>
        <row r="26">
          <cell r="B26" t="str">
            <v>Posté par la marque</v>
          </cell>
          <cell r="C26" t="str">
            <v>Annonces &amp; produit TikTok</v>
          </cell>
          <cell r="H26">
            <v>10400000</v>
          </cell>
        </row>
        <row r="27">
          <cell r="B27" t="str">
            <v>Posté par la marque</v>
          </cell>
          <cell r="C27" t="str">
            <v>Annonces &amp; produit TikTok</v>
          </cell>
          <cell r="H27">
            <v>144900000</v>
          </cell>
        </row>
        <row r="28">
          <cell r="B28" t="str">
            <v>Posté par la marque</v>
          </cell>
          <cell r="C28" t="str">
            <v>Musique, danse &amp; célébrités</v>
          </cell>
          <cell r="H28">
            <v>1300000</v>
          </cell>
        </row>
        <row r="29">
          <cell r="B29" t="str">
            <v>Posté par la marque</v>
          </cell>
          <cell r="C29" t="str">
            <v>Annonces &amp; produit TikTok</v>
          </cell>
          <cell r="H29">
            <v>1800000</v>
          </cell>
        </row>
        <row r="30">
          <cell r="B30" t="str">
            <v>Posté par la marque</v>
          </cell>
          <cell r="C30" t="str">
            <v>Musique, danse &amp; célébrités</v>
          </cell>
          <cell r="H30">
            <v>1400000</v>
          </cell>
        </row>
        <row r="31">
          <cell r="B31" t="str">
            <v>Posté par la marque</v>
          </cell>
          <cell r="C31" t="str">
            <v>Musique, danse &amp; célébrités</v>
          </cell>
          <cell r="H31">
            <v>1200000</v>
          </cell>
        </row>
        <row r="32">
          <cell r="B32" t="str">
            <v>Posté par la marque</v>
          </cell>
          <cell r="C32" t="str">
            <v>Musique, danse &amp; célébrités</v>
          </cell>
          <cell r="H32">
            <v>1800000</v>
          </cell>
        </row>
        <row r="33">
          <cell r="B33" t="str">
            <v>Posté par la marque</v>
          </cell>
          <cell r="C33" t="str">
            <v>Musique, danse &amp; célébrités</v>
          </cell>
          <cell r="H33">
            <v>2100000</v>
          </cell>
        </row>
        <row r="34">
          <cell r="B34" t="str">
            <v>Posté par la marque</v>
          </cell>
          <cell r="C34" t="str">
            <v>Annonces &amp; produit TikTok</v>
          </cell>
          <cell r="H34">
            <v>11100000</v>
          </cell>
        </row>
        <row r="35">
          <cell r="B35" t="str">
            <v>Posté par la marque</v>
          </cell>
          <cell r="C35" t="str">
            <v>Autres / non classé</v>
          </cell>
          <cell r="H35">
            <v>9800000</v>
          </cell>
        </row>
        <row r="36">
          <cell r="B36" t="str">
            <v>Posté par la marque</v>
          </cell>
          <cell r="C36" t="str">
            <v>Musique, danse &amp; célébrités</v>
          </cell>
          <cell r="H36">
            <v>2500000</v>
          </cell>
        </row>
        <row r="37">
          <cell r="B37" t="str">
            <v>Posté par la marque</v>
          </cell>
          <cell r="C37" t="str">
            <v>Musique, danse &amp; célébrités</v>
          </cell>
          <cell r="H37">
            <v>2700000</v>
          </cell>
        </row>
        <row r="38">
          <cell r="B38" t="str">
            <v>Posté par la marque</v>
          </cell>
          <cell r="C38" t="str">
            <v>Sport</v>
          </cell>
          <cell r="H38">
            <v>2400000</v>
          </cell>
        </row>
        <row r="39">
          <cell r="B39" t="str">
            <v>Posté par la marque</v>
          </cell>
          <cell r="C39" t="str">
            <v>Lifestyle, food &amp; beauté</v>
          </cell>
          <cell r="H39">
            <v>2000000</v>
          </cell>
        </row>
        <row r="40">
          <cell r="B40" t="str">
            <v>Posté par la marque</v>
          </cell>
          <cell r="C40" t="str">
            <v>Annonces &amp; produit TikTok</v>
          </cell>
          <cell r="H40">
            <v>3700000</v>
          </cell>
        </row>
        <row r="41">
          <cell r="B41" t="str">
            <v>Posté par la marque</v>
          </cell>
          <cell r="C41" t="str">
            <v>Lifestyle, food &amp; beauté</v>
          </cell>
          <cell r="H41">
            <v>2300000</v>
          </cell>
        </row>
        <row r="42">
          <cell r="B42" t="str">
            <v>Posté par la marque</v>
          </cell>
          <cell r="C42" t="str">
            <v>Lifestyle, food &amp; beauté</v>
          </cell>
          <cell r="H42">
            <v>5500000</v>
          </cell>
        </row>
        <row r="43">
          <cell r="B43" t="str">
            <v>Posté par la marque</v>
          </cell>
          <cell r="C43" t="str">
            <v>Musique, danse &amp; célébrités</v>
          </cell>
          <cell r="H43">
            <v>1500000</v>
          </cell>
        </row>
        <row r="44">
          <cell r="B44" t="str">
            <v>Posté par la marque</v>
          </cell>
          <cell r="C44" t="str">
            <v>Lifestyle, food &amp; beauté</v>
          </cell>
          <cell r="H44">
            <v>5100000</v>
          </cell>
        </row>
        <row r="45">
          <cell r="B45" t="str">
            <v>Posté par la marque</v>
          </cell>
          <cell r="C45" t="str">
            <v>Animaux</v>
          </cell>
          <cell r="H45">
            <v>121900000</v>
          </cell>
        </row>
        <row r="46">
          <cell r="B46" t="str">
            <v>Posté par la marque</v>
          </cell>
          <cell r="C46" t="str">
            <v>Animaux</v>
          </cell>
          <cell r="H46">
            <v>1800000</v>
          </cell>
        </row>
        <row r="47">
          <cell r="B47" t="str">
            <v>Posté par la marque</v>
          </cell>
          <cell r="C47" t="str">
            <v>Animaux</v>
          </cell>
          <cell r="H47">
            <v>3400000</v>
          </cell>
        </row>
        <row r="48">
          <cell r="B48" t="str">
            <v>Posté par la marque</v>
          </cell>
          <cell r="C48" t="str">
            <v>Musique, danse &amp; célébrités</v>
          </cell>
          <cell r="H48">
            <v>2000000</v>
          </cell>
        </row>
        <row r="49">
          <cell r="B49" t="str">
            <v>Posté par la marque</v>
          </cell>
          <cell r="C49" t="str">
            <v>Musique, danse &amp; célébrités</v>
          </cell>
          <cell r="H49">
            <v>8300000</v>
          </cell>
        </row>
        <row r="50">
          <cell r="B50" t="str">
            <v>Posté par la marque</v>
          </cell>
          <cell r="C50" t="str">
            <v>Annonces &amp; produit TikTok</v>
          </cell>
          <cell r="H50">
            <v>1200000</v>
          </cell>
        </row>
        <row r="51">
          <cell r="B51" t="str">
            <v>Posté par la marque</v>
          </cell>
          <cell r="C51" t="str">
            <v>Annonces &amp; produit TikTok</v>
          </cell>
          <cell r="H51">
            <v>1900000</v>
          </cell>
        </row>
        <row r="52">
          <cell r="B52" t="str">
            <v>Posté par la marque</v>
          </cell>
          <cell r="C52" t="str">
            <v>Musique, danse &amp; célébrités</v>
          </cell>
          <cell r="H52">
            <v>3200000</v>
          </cell>
        </row>
        <row r="53">
          <cell r="B53" t="str">
            <v>Posté par la marque</v>
          </cell>
          <cell r="C53" t="str">
            <v>Annonces &amp; produit TikTok</v>
          </cell>
          <cell r="H53">
            <v>2400000</v>
          </cell>
        </row>
        <row r="54">
          <cell r="B54" t="str">
            <v>Posté par la marque</v>
          </cell>
          <cell r="C54" t="str">
            <v>Musique, danse &amp; célébrités</v>
          </cell>
          <cell r="H54">
            <v>2500000</v>
          </cell>
        </row>
        <row r="55">
          <cell r="B55" t="str">
            <v>Posté par la marque</v>
          </cell>
          <cell r="C55" t="str">
            <v>Annonces &amp; produit TikTok</v>
          </cell>
          <cell r="H55">
            <v>2400000</v>
          </cell>
        </row>
        <row r="56">
          <cell r="B56" t="str">
            <v>Posté par la marque</v>
          </cell>
          <cell r="C56" t="str">
            <v>Annonces &amp; produit TikTok</v>
          </cell>
          <cell r="H56">
            <v>4200000</v>
          </cell>
        </row>
        <row r="57">
          <cell r="B57" t="str">
            <v>Posté par la marque</v>
          </cell>
          <cell r="C57" t="str">
            <v>Autres / non classé</v>
          </cell>
          <cell r="H57">
            <v>118000000</v>
          </cell>
        </row>
        <row r="58">
          <cell r="B58" t="str">
            <v>Posté par la marque</v>
          </cell>
          <cell r="C58" t="str">
            <v>Annonces &amp; produit TikTok</v>
          </cell>
          <cell r="H58">
            <v>7700000</v>
          </cell>
        </row>
        <row r="59">
          <cell r="B59" t="str">
            <v>Posté par la marque</v>
          </cell>
          <cell r="C59" t="str">
            <v>Annonces &amp; produit TikTok</v>
          </cell>
          <cell r="H59">
            <v>32500000</v>
          </cell>
        </row>
        <row r="60">
          <cell r="B60" t="str">
            <v>Posté par la marque</v>
          </cell>
          <cell r="C60" t="str">
            <v>Lifestyle, food &amp; beauté</v>
          </cell>
          <cell r="H60">
            <v>129100000</v>
          </cell>
        </row>
        <row r="61">
          <cell r="B61" t="str">
            <v>Posté par la marque</v>
          </cell>
          <cell r="C61" t="str">
            <v>Musique, danse &amp; célébrités</v>
          </cell>
          <cell r="H61">
            <v>4600000</v>
          </cell>
        </row>
        <row r="62">
          <cell r="B62" t="str">
            <v>Posté par la marque</v>
          </cell>
          <cell r="C62" t="str">
            <v>Animaux</v>
          </cell>
          <cell r="H62">
            <v>49800000</v>
          </cell>
        </row>
        <row r="63">
          <cell r="B63" t="str">
            <v>Posté par la marque</v>
          </cell>
          <cell r="C63" t="str">
            <v>Lifestyle, food &amp; beauté</v>
          </cell>
          <cell r="H63">
            <v>111500000</v>
          </cell>
        </row>
        <row r="64">
          <cell r="B64" t="str">
            <v>Posté par la marque</v>
          </cell>
          <cell r="C64" t="str">
            <v>Lifestyle, food &amp; beauté</v>
          </cell>
          <cell r="H64">
            <v>7100000</v>
          </cell>
        </row>
        <row r="65">
          <cell r="B65" t="str">
            <v>Posté par la marque</v>
          </cell>
          <cell r="C65" t="str">
            <v>Annonces &amp; produit TikTok</v>
          </cell>
          <cell r="H65">
            <v>25500000</v>
          </cell>
        </row>
        <row r="66">
          <cell r="B66" t="str">
            <v>Posté par la marque</v>
          </cell>
          <cell r="C66" t="str">
            <v>Annonces &amp; produit TikTok</v>
          </cell>
          <cell r="H66">
            <v>3800000</v>
          </cell>
        </row>
        <row r="67">
          <cell r="B67" t="str">
            <v>Posté par la marque</v>
          </cell>
          <cell r="C67" t="str">
            <v>Lifestyle, food &amp; beauté</v>
          </cell>
          <cell r="H67">
            <v>7100000</v>
          </cell>
        </row>
        <row r="68">
          <cell r="B68" t="str">
            <v>Posté par la marque</v>
          </cell>
          <cell r="C68" t="str">
            <v>Annonces &amp; produit TikTok</v>
          </cell>
          <cell r="H68">
            <v>3300000</v>
          </cell>
        </row>
        <row r="69">
          <cell r="B69" t="str">
            <v>Posté par la marque</v>
          </cell>
          <cell r="C69" t="str">
            <v>Annonces &amp; produit TikTok</v>
          </cell>
          <cell r="H69">
            <v>56900000</v>
          </cell>
        </row>
        <row r="70">
          <cell r="B70" t="str">
            <v>Posté par la marque</v>
          </cell>
          <cell r="C70" t="str">
            <v>Lifestyle, food &amp; beauté</v>
          </cell>
          <cell r="H70">
            <v>106800000</v>
          </cell>
        </row>
        <row r="71">
          <cell r="B71" t="str">
            <v>Posté par la marque</v>
          </cell>
          <cell r="C71" t="str">
            <v>Animaux</v>
          </cell>
          <cell r="H71">
            <v>9800000</v>
          </cell>
        </row>
        <row r="72">
          <cell r="B72" t="str">
            <v>Posté par la marque</v>
          </cell>
          <cell r="C72" t="str">
            <v>Annonces &amp; produit TikTok</v>
          </cell>
          <cell r="H72">
            <v>5700000</v>
          </cell>
        </row>
        <row r="73">
          <cell r="B73" t="str">
            <v>Posté par la marque</v>
          </cell>
          <cell r="C73" t="str">
            <v>Annonces &amp; produit TikTok</v>
          </cell>
          <cell r="H73">
            <v>4200000</v>
          </cell>
        </row>
        <row r="74">
          <cell r="B74" t="str">
            <v>Posté par la marque</v>
          </cell>
          <cell r="C74" t="str">
            <v>Annonces &amp; produit TikTok</v>
          </cell>
          <cell r="H74">
            <v>5100000</v>
          </cell>
        </row>
        <row r="75">
          <cell r="B75" t="str">
            <v>Posté par la marque</v>
          </cell>
          <cell r="C75" t="str">
            <v>Annonces &amp; produit TikTok</v>
          </cell>
          <cell r="H75">
            <v>10900000</v>
          </cell>
        </row>
        <row r="76">
          <cell r="B76" t="str">
            <v>Posté par la marque</v>
          </cell>
          <cell r="C76" t="str">
            <v>Annonces &amp; produit TikTok</v>
          </cell>
          <cell r="H76">
            <v>49200000</v>
          </cell>
        </row>
        <row r="77">
          <cell r="B77" t="str">
            <v>Posté par la marque</v>
          </cell>
          <cell r="C77" t="str">
            <v>Annonces &amp; produit TikTok</v>
          </cell>
          <cell r="H77">
            <v>12000000</v>
          </cell>
        </row>
        <row r="78">
          <cell r="B78" t="str">
            <v>Posté par la marque</v>
          </cell>
          <cell r="C78" t="str">
            <v>Lifestyle, food &amp; beauté</v>
          </cell>
          <cell r="H78">
            <v>7300000</v>
          </cell>
        </row>
        <row r="79">
          <cell r="B79" t="str">
            <v>Posté par la marque</v>
          </cell>
          <cell r="C79" t="str">
            <v>Musique, danse &amp; célébrités</v>
          </cell>
          <cell r="H79">
            <v>17900000</v>
          </cell>
        </row>
        <row r="80">
          <cell r="B80" t="str">
            <v>Posté par la marque</v>
          </cell>
          <cell r="C80" t="str">
            <v>Lifestyle, food &amp; beauté</v>
          </cell>
          <cell r="H80">
            <v>10300000</v>
          </cell>
        </row>
        <row r="81">
          <cell r="B81" t="str">
            <v>Posté par la marque</v>
          </cell>
          <cell r="C81" t="str">
            <v>Musique, danse &amp; célébrités</v>
          </cell>
          <cell r="H81">
            <v>4000000</v>
          </cell>
        </row>
        <row r="82">
          <cell r="B82" t="str">
            <v>Posté par la marque</v>
          </cell>
          <cell r="C82" t="str">
            <v>Annonces &amp; produit TikTok</v>
          </cell>
          <cell r="H82">
            <v>10800000</v>
          </cell>
        </row>
        <row r="83">
          <cell r="B83" t="str">
            <v>Posté par la marque</v>
          </cell>
          <cell r="C83" t="str">
            <v>Musique, danse &amp; célébrités</v>
          </cell>
          <cell r="H83">
            <v>12200000</v>
          </cell>
        </row>
        <row r="84">
          <cell r="B84" t="str">
            <v>Posté par la marque</v>
          </cell>
          <cell r="C84" t="str">
            <v>Annonces &amp; produit TikTok</v>
          </cell>
          <cell r="H84">
            <v>8600000</v>
          </cell>
        </row>
        <row r="85">
          <cell r="B85" t="str">
            <v>Posté par la marque</v>
          </cell>
          <cell r="C85" t="str">
            <v>Annonces &amp; produit TikTok</v>
          </cell>
          <cell r="H85">
            <v>5800000</v>
          </cell>
        </row>
        <row r="86">
          <cell r="B86" t="str">
            <v>Posté par la marque</v>
          </cell>
          <cell r="C86" t="str">
            <v>Musique, danse &amp; célébrités</v>
          </cell>
          <cell r="H86">
            <v>4300000</v>
          </cell>
        </row>
        <row r="87">
          <cell r="B87" t="str">
            <v>Posté par la marque</v>
          </cell>
          <cell r="C87" t="str">
            <v>Lifestyle, food &amp; beauté</v>
          </cell>
          <cell r="H87">
            <v>5600000</v>
          </cell>
        </row>
        <row r="88">
          <cell r="B88" t="str">
            <v>Posté par la marque</v>
          </cell>
          <cell r="C88" t="str">
            <v>Annonces &amp; produit TikTok</v>
          </cell>
          <cell r="H88">
            <v>3300000</v>
          </cell>
        </row>
        <row r="89">
          <cell r="B89" t="str">
            <v>Posté par la marque</v>
          </cell>
          <cell r="C89" t="str">
            <v>Annonces &amp; produit TikTok</v>
          </cell>
          <cell r="H89">
            <v>6500000</v>
          </cell>
        </row>
        <row r="90">
          <cell r="B90" t="str">
            <v>Posté par la marque</v>
          </cell>
          <cell r="C90" t="str">
            <v>Humour, sketchs &amp; pranks</v>
          </cell>
          <cell r="H90">
            <v>3200000</v>
          </cell>
        </row>
        <row r="91">
          <cell r="B91" t="str">
            <v>Posté par la marque</v>
          </cell>
          <cell r="C91" t="str">
            <v>Musique, danse &amp; célébrités</v>
          </cell>
          <cell r="H91">
            <v>2400000</v>
          </cell>
        </row>
        <row r="92">
          <cell r="B92" t="str">
            <v>Posté par la marque</v>
          </cell>
          <cell r="C92" t="str">
            <v>Autres / non classé</v>
          </cell>
          <cell r="H92">
            <v>4200000</v>
          </cell>
        </row>
        <row r="93">
          <cell r="B93" t="str">
            <v>Posté par la marque</v>
          </cell>
          <cell r="C93" t="str">
            <v>Lifestyle, food &amp; beauté</v>
          </cell>
          <cell r="H93">
            <v>3200000</v>
          </cell>
        </row>
        <row r="94">
          <cell r="B94" t="str">
            <v>Posté par la marque</v>
          </cell>
          <cell r="C94" t="str">
            <v>Annonces &amp; produit TikTok</v>
          </cell>
          <cell r="H94">
            <v>18100000</v>
          </cell>
        </row>
        <row r="95">
          <cell r="B95" t="str">
            <v>Posté par la marque</v>
          </cell>
          <cell r="C95" t="str">
            <v>Lifestyle, food &amp; beauté</v>
          </cell>
          <cell r="H95">
            <v>1900000</v>
          </cell>
        </row>
        <row r="96">
          <cell r="B96" t="str">
            <v>Posté par la marque</v>
          </cell>
          <cell r="C96" t="str">
            <v>Lifestyle, food &amp; beauté</v>
          </cell>
          <cell r="H96">
            <v>2000000</v>
          </cell>
        </row>
        <row r="97">
          <cell r="B97" t="str">
            <v>Posté par la marque</v>
          </cell>
          <cell r="C97" t="str">
            <v>Annonces &amp; produit TikTok</v>
          </cell>
          <cell r="H97">
            <v>1900000</v>
          </cell>
        </row>
        <row r="98">
          <cell r="B98" t="str">
            <v>Posté par la marque</v>
          </cell>
          <cell r="C98" t="str">
            <v>Autres / non classé</v>
          </cell>
          <cell r="H98">
            <v>1700000</v>
          </cell>
        </row>
        <row r="99">
          <cell r="B99" t="str">
            <v>Posté par la marque</v>
          </cell>
          <cell r="C99" t="str">
            <v>Autres / non classé</v>
          </cell>
          <cell r="H99">
            <v>1600000</v>
          </cell>
        </row>
        <row r="100">
          <cell r="B100" t="str">
            <v>Posté par la marque</v>
          </cell>
          <cell r="C100" t="str">
            <v>Autres / non classé</v>
          </cell>
          <cell r="H100">
            <v>2400000</v>
          </cell>
        </row>
        <row r="101">
          <cell r="B101" t="str">
            <v>Posté par la marque</v>
          </cell>
          <cell r="C101" t="str">
            <v>Autres / non classé</v>
          </cell>
          <cell r="H101">
            <v>1800000</v>
          </cell>
        </row>
        <row r="102">
          <cell r="B102" t="str">
            <v>Liké par la marque</v>
          </cell>
          <cell r="C102" t="str">
            <v>Humour, sketchs &amp; pranks</v>
          </cell>
          <cell r="H102">
            <v>1300000</v>
          </cell>
        </row>
        <row r="103">
          <cell r="B103" t="str">
            <v>Liké par la marque</v>
          </cell>
          <cell r="C103" t="str">
            <v>Famille &amp; enfants</v>
          </cell>
          <cell r="H103">
            <v>574900</v>
          </cell>
        </row>
        <row r="104">
          <cell r="B104" t="str">
            <v>Liké par la marque</v>
          </cell>
          <cell r="C104" t="str">
            <v>Lifestyle, food &amp; beauté</v>
          </cell>
          <cell r="H104">
            <v>355800</v>
          </cell>
        </row>
        <row r="105">
          <cell r="B105" t="str">
            <v>Liké par la marque</v>
          </cell>
          <cell r="C105" t="str">
            <v>Non classé (sans texte)</v>
          </cell>
          <cell r="H105">
            <v>6100000</v>
          </cell>
        </row>
        <row r="106">
          <cell r="B106" t="str">
            <v>Liké par la marque</v>
          </cell>
          <cell r="C106" t="str">
            <v>Musique, danse &amp; célébrités</v>
          </cell>
          <cell r="H106">
            <v>4900000</v>
          </cell>
        </row>
        <row r="107">
          <cell r="B107" t="str">
            <v>Liké par la marque</v>
          </cell>
          <cell r="C107" t="str">
            <v>Famille &amp; enfants</v>
          </cell>
          <cell r="H107">
            <v>27000000</v>
          </cell>
        </row>
        <row r="108">
          <cell r="B108" t="str">
            <v>Liké par la marque</v>
          </cell>
          <cell r="C108" t="str">
            <v>Musique, danse &amp; célébrités</v>
          </cell>
          <cell r="H108">
            <v>8689</v>
          </cell>
        </row>
        <row r="109">
          <cell r="B109" t="str">
            <v>Liké par la marque</v>
          </cell>
          <cell r="C109" t="str">
            <v>Sport</v>
          </cell>
          <cell r="H109">
            <v>260200</v>
          </cell>
        </row>
        <row r="110">
          <cell r="B110" t="str">
            <v>Liké par la marque</v>
          </cell>
          <cell r="C110" t="str">
            <v>Sport</v>
          </cell>
          <cell r="H110">
            <v>620100</v>
          </cell>
        </row>
        <row r="111">
          <cell r="B111" t="str">
            <v>Liké par la marque</v>
          </cell>
          <cell r="C111" t="str">
            <v>Musique, danse &amp; célébrités</v>
          </cell>
          <cell r="H111">
            <v>4200000</v>
          </cell>
        </row>
        <row r="112">
          <cell r="B112" t="str">
            <v>Liké par la marque</v>
          </cell>
          <cell r="C112" t="str">
            <v>Humour, sketchs &amp; pranks</v>
          </cell>
          <cell r="H112">
            <v>38900000</v>
          </cell>
        </row>
        <row r="113">
          <cell r="B113" t="str">
            <v>Liké par la marque</v>
          </cell>
          <cell r="C113" t="str">
            <v>Musique, danse &amp; célébrités</v>
          </cell>
          <cell r="H113">
            <v>963000</v>
          </cell>
        </row>
        <row r="114">
          <cell r="B114" t="str">
            <v>Liké par la marque</v>
          </cell>
          <cell r="C114" t="str">
            <v>Autres / non classé</v>
          </cell>
          <cell r="H114">
            <v>107100000</v>
          </cell>
        </row>
        <row r="115">
          <cell r="B115" t="str">
            <v>Liké par la marque</v>
          </cell>
          <cell r="C115" t="str">
            <v>Lifestyle, food &amp; beauté</v>
          </cell>
          <cell r="H115">
            <v>29800000</v>
          </cell>
        </row>
        <row r="116">
          <cell r="B116" t="str">
            <v>Liké par la marque</v>
          </cell>
          <cell r="C116" t="str">
            <v>Musique, danse &amp; célébrités</v>
          </cell>
          <cell r="H116">
            <v>22300</v>
          </cell>
        </row>
        <row r="117">
          <cell r="B117" t="str">
            <v>Liké par la marque</v>
          </cell>
          <cell r="C117" t="str">
            <v>Musique, danse &amp; célébrités</v>
          </cell>
          <cell r="H117">
            <v>11000000</v>
          </cell>
        </row>
        <row r="118">
          <cell r="B118" t="str">
            <v>Liké par la marque</v>
          </cell>
          <cell r="C118" t="str">
            <v>Sport</v>
          </cell>
          <cell r="H118">
            <v>67300000</v>
          </cell>
        </row>
        <row r="119">
          <cell r="B119" t="str">
            <v>Liké par la marque</v>
          </cell>
          <cell r="C119" t="str">
            <v>Animaux</v>
          </cell>
          <cell r="H119">
            <v>686300</v>
          </cell>
        </row>
        <row r="120">
          <cell r="B120" t="str">
            <v>Liké par la marque</v>
          </cell>
          <cell r="C120" t="str">
            <v>Autres / non classé</v>
          </cell>
          <cell r="H120">
            <v>1100000</v>
          </cell>
        </row>
        <row r="121">
          <cell r="B121" t="str">
            <v>Liké par la marque</v>
          </cell>
          <cell r="C121" t="str">
            <v>Musique, danse &amp; célébrités</v>
          </cell>
          <cell r="H121">
            <v>1200000</v>
          </cell>
        </row>
        <row r="122">
          <cell r="B122" t="str">
            <v>Liké par la marque</v>
          </cell>
          <cell r="C122" t="str">
            <v>Sport</v>
          </cell>
          <cell r="H122">
            <v>5300000</v>
          </cell>
        </row>
        <row r="123">
          <cell r="B123" t="str">
            <v>Liké par la marque</v>
          </cell>
          <cell r="C123" t="str">
            <v>Lifestyle, food &amp; beauté</v>
          </cell>
          <cell r="H123">
            <v>27800000</v>
          </cell>
        </row>
        <row r="124">
          <cell r="B124" t="str">
            <v>Liké par la marque</v>
          </cell>
          <cell r="C124" t="str">
            <v>Animaux</v>
          </cell>
          <cell r="H124">
            <v>14400000</v>
          </cell>
        </row>
        <row r="125">
          <cell r="B125" t="str">
            <v>Liké par la marque</v>
          </cell>
          <cell r="C125" t="str">
            <v>Sport</v>
          </cell>
          <cell r="H125">
            <v>2000000</v>
          </cell>
        </row>
        <row r="126">
          <cell r="B126" t="str">
            <v>Liké par la marque</v>
          </cell>
          <cell r="C126" t="str">
            <v>Humour, sketchs &amp; pranks</v>
          </cell>
          <cell r="H126">
            <v>4700000</v>
          </cell>
        </row>
        <row r="127">
          <cell r="B127" t="str">
            <v>Liké par la marque</v>
          </cell>
          <cell r="C127" t="str">
            <v>Famille &amp; enfants</v>
          </cell>
          <cell r="H127">
            <v>6500000</v>
          </cell>
        </row>
        <row r="128">
          <cell r="B128" t="str">
            <v>Liké par la marque</v>
          </cell>
          <cell r="C128" t="str">
            <v>Musique, danse &amp; célébrités</v>
          </cell>
          <cell r="H128">
            <v>7500000</v>
          </cell>
        </row>
        <row r="129">
          <cell r="B129" t="str">
            <v>Liké par la marque</v>
          </cell>
          <cell r="C129" t="str">
            <v>Autres / non classé</v>
          </cell>
          <cell r="H129">
            <v>141700000</v>
          </cell>
        </row>
        <row r="130">
          <cell r="B130" t="str">
            <v>Liké par la marque</v>
          </cell>
          <cell r="C130" t="str">
            <v>Sport</v>
          </cell>
          <cell r="H130">
            <v>26000000</v>
          </cell>
        </row>
        <row r="131">
          <cell r="B131" t="str">
            <v>Liké par la marque</v>
          </cell>
          <cell r="C131" t="str">
            <v>Autres / non classé</v>
          </cell>
          <cell r="H131">
            <v>180600</v>
          </cell>
        </row>
        <row r="132">
          <cell r="B132" t="str">
            <v>Liké par la marque</v>
          </cell>
          <cell r="C132" t="str">
            <v>Lifestyle, food &amp; beauté</v>
          </cell>
          <cell r="H132">
            <v>198900</v>
          </cell>
        </row>
        <row r="133">
          <cell r="B133" t="str">
            <v>Liké par la marque</v>
          </cell>
          <cell r="C133" t="str">
            <v>Sport</v>
          </cell>
          <cell r="H133">
            <v>150400</v>
          </cell>
        </row>
        <row r="134">
          <cell r="B134" t="str">
            <v>Liké par la marque</v>
          </cell>
          <cell r="C134" t="str">
            <v>Musique, danse &amp; célébrités</v>
          </cell>
          <cell r="H134">
            <v>453300</v>
          </cell>
        </row>
        <row r="135">
          <cell r="B135" t="str">
            <v>Liké par la marque</v>
          </cell>
          <cell r="C135" t="str">
            <v>Sport</v>
          </cell>
          <cell r="H135">
            <v>425000</v>
          </cell>
        </row>
        <row r="136">
          <cell r="B136" t="str">
            <v>Liké par la marque</v>
          </cell>
          <cell r="C136" t="str">
            <v>Musique, danse &amp; célébrités</v>
          </cell>
          <cell r="H136">
            <v>523900</v>
          </cell>
        </row>
        <row r="137">
          <cell r="B137" t="str">
            <v>Liké par la marque</v>
          </cell>
          <cell r="C137" t="str">
            <v>Musique, danse &amp; célébrités</v>
          </cell>
          <cell r="H137">
            <v>3000000</v>
          </cell>
        </row>
        <row r="138">
          <cell r="B138" t="str">
            <v>Liké par la marque</v>
          </cell>
          <cell r="C138" t="str">
            <v>Humour, sketchs &amp; pranks</v>
          </cell>
          <cell r="H138">
            <v>12300000</v>
          </cell>
        </row>
        <row r="139">
          <cell r="B139" t="str">
            <v>Liké par la marque</v>
          </cell>
          <cell r="C139" t="str">
            <v>Humour, sketchs &amp; pranks</v>
          </cell>
          <cell r="H139">
            <v>9800000</v>
          </cell>
        </row>
        <row r="140">
          <cell r="B140" t="str">
            <v>Liké par la marque</v>
          </cell>
          <cell r="C140" t="str">
            <v>Autres / non classé</v>
          </cell>
          <cell r="H140">
            <v>3600000</v>
          </cell>
        </row>
        <row r="141">
          <cell r="B141" t="str">
            <v>Liké par la marque</v>
          </cell>
          <cell r="C141" t="str">
            <v>Musique, danse &amp; célébrités</v>
          </cell>
          <cell r="H141">
            <v>510500</v>
          </cell>
        </row>
        <row r="142">
          <cell r="B142" t="str">
            <v>Liké par la marque</v>
          </cell>
          <cell r="C142" t="str">
            <v>Musique, danse &amp; célébrités</v>
          </cell>
          <cell r="H142">
            <v>28700</v>
          </cell>
        </row>
        <row r="143">
          <cell r="B143" t="str">
            <v>Liké par la marque</v>
          </cell>
          <cell r="C143" t="str">
            <v>Humour, sketchs &amp; pranks</v>
          </cell>
          <cell r="H143">
            <v>3500000</v>
          </cell>
        </row>
        <row r="144">
          <cell r="B144" t="str">
            <v>Liké par la marque</v>
          </cell>
          <cell r="C144" t="str">
            <v>Musique, danse &amp; célébrités</v>
          </cell>
          <cell r="H144">
            <v>549900</v>
          </cell>
        </row>
        <row r="145">
          <cell r="B145" t="str">
            <v>Liké par la marque</v>
          </cell>
          <cell r="C145" t="str">
            <v>Musique, danse &amp; célébrités</v>
          </cell>
          <cell r="H145">
            <v>33000000</v>
          </cell>
        </row>
        <row r="146">
          <cell r="B146" t="str">
            <v>Liké par la marque</v>
          </cell>
          <cell r="C146" t="str">
            <v>Lifestyle, food &amp; beauté</v>
          </cell>
          <cell r="H146">
            <v>107400</v>
          </cell>
        </row>
        <row r="147">
          <cell r="B147" t="str">
            <v>Liké par la marque</v>
          </cell>
          <cell r="C147" t="str">
            <v>Famille &amp; enfants</v>
          </cell>
          <cell r="H147">
            <v>1800000</v>
          </cell>
        </row>
        <row r="148">
          <cell r="B148" t="str">
            <v>Liké par la marque</v>
          </cell>
          <cell r="C148" t="str">
            <v>Musique, danse &amp; célébrités</v>
          </cell>
          <cell r="H148">
            <v>1100000</v>
          </cell>
        </row>
        <row r="149">
          <cell r="B149" t="str">
            <v>Liké par la marque</v>
          </cell>
          <cell r="C149" t="str">
            <v>Famille &amp; enfants</v>
          </cell>
          <cell r="H149">
            <v>14400000</v>
          </cell>
        </row>
        <row r="150">
          <cell r="B150" t="str">
            <v>Liké par la marque</v>
          </cell>
          <cell r="C150" t="str">
            <v>Musique, danse &amp; célébrités</v>
          </cell>
          <cell r="H150">
            <v>1000000</v>
          </cell>
        </row>
        <row r="151">
          <cell r="B151" t="str">
            <v>Liké par la marque</v>
          </cell>
          <cell r="C151" t="str">
            <v>Annonces &amp; produit TikTok</v>
          </cell>
          <cell r="H151">
            <v>41500000</v>
          </cell>
        </row>
        <row r="152">
          <cell r="B152" t="str">
            <v>Liké par la marque</v>
          </cell>
          <cell r="C152" t="str">
            <v>Famille &amp; enfants</v>
          </cell>
          <cell r="H152">
            <v>25900000</v>
          </cell>
        </row>
        <row r="153">
          <cell r="B153" t="str">
            <v>Liké par la marque</v>
          </cell>
          <cell r="C153" t="str">
            <v>Sport</v>
          </cell>
          <cell r="H153">
            <v>5400000</v>
          </cell>
        </row>
        <row r="154">
          <cell r="B154" t="str">
            <v>Liké par la marque</v>
          </cell>
          <cell r="C154" t="str">
            <v>Sport</v>
          </cell>
          <cell r="H154">
            <v>7200000</v>
          </cell>
        </row>
        <row r="155">
          <cell r="B155" t="str">
            <v>Liké par la marque</v>
          </cell>
          <cell r="C155" t="str">
            <v>Autres / non classé</v>
          </cell>
          <cell r="H155">
            <v>758200</v>
          </cell>
        </row>
        <row r="156">
          <cell r="B156" t="str">
            <v>Liké par la marque</v>
          </cell>
          <cell r="C156" t="str">
            <v>Humour, sketchs &amp; pranks</v>
          </cell>
          <cell r="H156">
            <v>630000</v>
          </cell>
        </row>
        <row r="157">
          <cell r="B157" t="str">
            <v>Liké par la marque</v>
          </cell>
          <cell r="C157" t="str">
            <v>Lifestyle, food &amp; beauté</v>
          </cell>
          <cell r="H157">
            <v>9300000</v>
          </cell>
        </row>
        <row r="158">
          <cell r="B158" t="str">
            <v>Liké par la marque</v>
          </cell>
          <cell r="C158" t="str">
            <v>Humour, sketchs &amp; pranks</v>
          </cell>
          <cell r="H158">
            <v>5000000</v>
          </cell>
        </row>
        <row r="159">
          <cell r="B159" t="str">
            <v>Liké par la marque</v>
          </cell>
          <cell r="C159" t="str">
            <v>Musique, danse &amp; célébrités</v>
          </cell>
          <cell r="H159">
            <v>5800000</v>
          </cell>
        </row>
        <row r="160">
          <cell r="B160" t="str">
            <v>Liké par la marque</v>
          </cell>
          <cell r="C160" t="str">
            <v>Musique, danse &amp; célébrités</v>
          </cell>
          <cell r="H160">
            <v>25400000</v>
          </cell>
        </row>
        <row r="161">
          <cell r="B161" t="str">
            <v>Liké par la marque</v>
          </cell>
          <cell r="C161" t="str">
            <v>Musique, danse &amp; célébrités</v>
          </cell>
          <cell r="H161">
            <v>6100000</v>
          </cell>
        </row>
        <row r="162">
          <cell r="B162" t="str">
            <v>Liké par la marque</v>
          </cell>
          <cell r="C162" t="str">
            <v>Musique, danse &amp; célébrités</v>
          </cell>
          <cell r="H162">
            <v>40500</v>
          </cell>
        </row>
        <row r="163">
          <cell r="B163" t="str">
            <v>Liké par la marque</v>
          </cell>
          <cell r="C163" t="str">
            <v>Humour, sketchs &amp; pranks</v>
          </cell>
          <cell r="H163">
            <v>181100000</v>
          </cell>
        </row>
        <row r="164">
          <cell r="B164" t="str">
            <v>Liké par la marque</v>
          </cell>
          <cell r="C164" t="str">
            <v>Non classé (sans texte)</v>
          </cell>
          <cell r="H164">
            <v>5600000</v>
          </cell>
        </row>
        <row r="165">
          <cell r="B165" t="str">
            <v>Liké par la marque</v>
          </cell>
          <cell r="C165" t="str">
            <v>Humour, sketchs &amp; pranks</v>
          </cell>
          <cell r="H165">
            <v>49500000</v>
          </cell>
        </row>
        <row r="166">
          <cell r="B166" t="str">
            <v>Liké par la marque</v>
          </cell>
          <cell r="C166" t="str">
            <v>Musique, danse &amp; célébrités</v>
          </cell>
          <cell r="H166">
            <v>23000000</v>
          </cell>
        </row>
        <row r="167">
          <cell r="B167" t="str">
            <v>Liké par la marque</v>
          </cell>
          <cell r="C167" t="str">
            <v>Humour, sketchs &amp; pranks</v>
          </cell>
          <cell r="H167">
            <v>4400000</v>
          </cell>
        </row>
        <row r="168">
          <cell r="B168" t="str">
            <v>Liké par la marque</v>
          </cell>
          <cell r="C168" t="str">
            <v>Non classé (sans texte)</v>
          </cell>
          <cell r="H168">
            <v>1400000</v>
          </cell>
        </row>
        <row r="169">
          <cell r="B169" t="str">
            <v>Liké par la marque</v>
          </cell>
          <cell r="C169" t="str">
            <v>Animaux</v>
          </cell>
          <cell r="H169">
            <v>17800000</v>
          </cell>
        </row>
        <row r="170">
          <cell r="B170" t="str">
            <v>Liké par la marque</v>
          </cell>
          <cell r="C170" t="str">
            <v>Famille &amp; enfants</v>
          </cell>
          <cell r="H170">
            <v>8600000</v>
          </cell>
        </row>
        <row r="171">
          <cell r="B171" t="str">
            <v>Liké par la marque</v>
          </cell>
          <cell r="C171" t="str">
            <v>Autres / non classé</v>
          </cell>
          <cell r="H171">
            <v>10900000</v>
          </cell>
        </row>
        <row r="172">
          <cell r="B172" t="str">
            <v>Liké par la marque</v>
          </cell>
          <cell r="C172" t="str">
            <v>Musique, danse &amp; célébrités</v>
          </cell>
          <cell r="H172">
            <v>5300000</v>
          </cell>
        </row>
        <row r="173">
          <cell r="B173" t="str">
            <v>Liké par la marque</v>
          </cell>
          <cell r="C173" t="str">
            <v>Sport</v>
          </cell>
          <cell r="H173">
            <v>6200000</v>
          </cell>
        </row>
        <row r="174">
          <cell r="B174" t="str">
            <v>Liké par la marque</v>
          </cell>
          <cell r="C174" t="str">
            <v>Animaux</v>
          </cell>
          <cell r="H174">
            <v>19500000</v>
          </cell>
        </row>
        <row r="175">
          <cell r="B175" t="str">
            <v>Liké par la marque</v>
          </cell>
          <cell r="C175" t="str">
            <v>Humour, sketchs &amp; pranks</v>
          </cell>
          <cell r="H175">
            <v>11000000</v>
          </cell>
        </row>
        <row r="176">
          <cell r="B176" t="str">
            <v>Liké par la marque</v>
          </cell>
          <cell r="C176" t="str">
            <v>Autres / non classé</v>
          </cell>
          <cell r="H176">
            <v>13100000</v>
          </cell>
        </row>
        <row r="177">
          <cell r="B177" t="str">
            <v>Liké par la marque</v>
          </cell>
          <cell r="C177" t="str">
            <v>Non classé (sans texte)</v>
          </cell>
          <cell r="H177">
            <v>9300000</v>
          </cell>
        </row>
        <row r="178">
          <cell r="B178" t="str">
            <v>Liké par la marque</v>
          </cell>
          <cell r="C178" t="str">
            <v>Musique, danse &amp; célébrités</v>
          </cell>
          <cell r="H178">
            <v>6100000</v>
          </cell>
        </row>
        <row r="179">
          <cell r="B179" t="str">
            <v>Liké par la marque</v>
          </cell>
          <cell r="C179" t="str">
            <v>Autres / non classé</v>
          </cell>
          <cell r="H179">
            <v>13300000</v>
          </cell>
        </row>
        <row r="180">
          <cell r="B180" t="str">
            <v>Liké par la marque</v>
          </cell>
          <cell r="C180" t="str">
            <v>Autres / non classé</v>
          </cell>
          <cell r="H180">
            <v>9500000</v>
          </cell>
        </row>
        <row r="181">
          <cell r="B181" t="str">
            <v>Liké par la marque</v>
          </cell>
          <cell r="C181" t="str">
            <v>Autres / non classé</v>
          </cell>
          <cell r="H181">
            <v>22900000</v>
          </cell>
        </row>
        <row r="182">
          <cell r="B182" t="str">
            <v>Liké par la marque</v>
          </cell>
          <cell r="C182" t="str">
            <v>Musique, danse &amp; célébrités</v>
          </cell>
          <cell r="H182">
            <v>91500000</v>
          </cell>
        </row>
        <row r="183">
          <cell r="B183" t="str">
            <v>Liké par la marque</v>
          </cell>
          <cell r="C183" t="str">
            <v>Humour, sketchs &amp; pranks</v>
          </cell>
          <cell r="H183">
            <v>1500000</v>
          </cell>
        </row>
        <row r="184">
          <cell r="B184" t="str">
            <v>Liké par la marque</v>
          </cell>
          <cell r="C184" t="str">
            <v>Lifestyle, food &amp; beauté</v>
          </cell>
          <cell r="H184">
            <v>9000000</v>
          </cell>
        </row>
        <row r="185">
          <cell r="B185" t="str">
            <v>Liké par la marque</v>
          </cell>
          <cell r="C185" t="str">
            <v>Sport</v>
          </cell>
          <cell r="H185">
            <v>1700000</v>
          </cell>
        </row>
        <row r="186">
          <cell r="B186" t="str">
            <v>Liké par la marque</v>
          </cell>
          <cell r="C186" t="str">
            <v>Musique, danse &amp; célébrités</v>
          </cell>
          <cell r="H186">
            <v>4300000</v>
          </cell>
        </row>
        <row r="187">
          <cell r="B187" t="str">
            <v>Liké par la marque</v>
          </cell>
          <cell r="C187" t="str">
            <v>Musique, danse &amp; célébrités</v>
          </cell>
          <cell r="H187">
            <v>6400000</v>
          </cell>
        </row>
        <row r="188">
          <cell r="B188" t="str">
            <v>Liké par la marque</v>
          </cell>
          <cell r="C188" t="str">
            <v>Musique, danse &amp; célébrités</v>
          </cell>
          <cell r="H188">
            <v>12900000</v>
          </cell>
        </row>
        <row r="189">
          <cell r="B189" t="str">
            <v>Liké par la marque</v>
          </cell>
          <cell r="C189" t="str">
            <v>Autres / non classé</v>
          </cell>
          <cell r="H189">
            <v>20600000</v>
          </cell>
        </row>
        <row r="190">
          <cell r="B190" t="str">
            <v>Liké par la marque</v>
          </cell>
          <cell r="C190" t="str">
            <v>Humour, sketchs &amp; pranks</v>
          </cell>
          <cell r="H190">
            <v>1400000</v>
          </cell>
        </row>
        <row r="191">
          <cell r="B191" t="str">
            <v>Liké par la marque</v>
          </cell>
          <cell r="C191" t="str">
            <v>Musique, danse &amp; célébrités</v>
          </cell>
          <cell r="H191">
            <v>21700000</v>
          </cell>
        </row>
        <row r="192">
          <cell r="B192" t="str">
            <v>Liké par la marque</v>
          </cell>
          <cell r="C192" t="str">
            <v>Humour, sketchs &amp; pranks</v>
          </cell>
          <cell r="H192">
            <v>6900000</v>
          </cell>
        </row>
        <row r="193">
          <cell r="B193" t="str">
            <v>Liké par la marque</v>
          </cell>
          <cell r="C193" t="str">
            <v>Non classé (sans texte)</v>
          </cell>
          <cell r="H193">
            <v>21500000</v>
          </cell>
        </row>
        <row r="194">
          <cell r="B194" t="str">
            <v>Liké par la marque</v>
          </cell>
          <cell r="C194" t="str">
            <v>Humour, sketchs &amp; pranks</v>
          </cell>
          <cell r="H194">
            <v>3000000</v>
          </cell>
        </row>
        <row r="195">
          <cell r="B195" t="str">
            <v>Liké par la marque</v>
          </cell>
          <cell r="C195" t="str">
            <v>Autres / non classé</v>
          </cell>
          <cell r="H195">
            <v>73800</v>
          </cell>
        </row>
        <row r="196">
          <cell r="B196" t="str">
            <v>Liké par la marque</v>
          </cell>
          <cell r="C196" t="str">
            <v>Autres / non classé</v>
          </cell>
          <cell r="H196">
            <v>10500000</v>
          </cell>
        </row>
        <row r="197">
          <cell r="B197" t="str">
            <v>Liké par la marque</v>
          </cell>
          <cell r="C197" t="str">
            <v>Autres / non classé</v>
          </cell>
          <cell r="H197">
            <v>10500000</v>
          </cell>
        </row>
        <row r="198">
          <cell r="B198" t="str">
            <v>Liké par la marque</v>
          </cell>
          <cell r="C198" t="str">
            <v>Autres / non classé</v>
          </cell>
          <cell r="H198">
            <v>8100000</v>
          </cell>
        </row>
        <row r="199">
          <cell r="B199" t="str">
            <v>Liké par la marque</v>
          </cell>
          <cell r="C199" t="str">
            <v>Autres / non classé</v>
          </cell>
          <cell r="H199">
            <v>1200000</v>
          </cell>
        </row>
        <row r="200">
          <cell r="B200" t="str">
            <v>Liké par la marque</v>
          </cell>
          <cell r="C200" t="str">
            <v>Autres / non classé</v>
          </cell>
          <cell r="H200">
            <v>1700000</v>
          </cell>
        </row>
        <row r="201">
          <cell r="B201" t="str">
            <v>Liké par la marque</v>
          </cell>
          <cell r="C201" t="str">
            <v>Autres / non classé</v>
          </cell>
          <cell r="H201">
            <v>5000000</v>
          </cell>
        </row>
      </sheetData>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H161"/>
  <sheetViews>
    <sheetView workbookViewId="0">
      <selection activeCell="C13" sqref="A1:XFD1048576"/>
    </sheetView>
  </sheetViews>
  <sheetFormatPr defaultColWidth="12.5703125" defaultRowHeight="15.75" customHeight="1"/>
  <sheetData>
    <row r="1" spans="1:1">
      <c r="A1" s="1" t="s">
        <v>0</v>
      </c>
    </row>
    <row r="2" spans="1:1" ht="18.75" customHeight="1">
      <c r="A2" s="2" t="s">
        <v>1</v>
      </c>
    </row>
    <row r="3" spans="1:1">
      <c r="A3" s="1"/>
    </row>
    <row r="4" spans="1:1">
      <c r="A4" s="1" t="s">
        <v>2</v>
      </c>
    </row>
    <row r="5" spans="1:1">
      <c r="A5" s="2" t="s">
        <v>3</v>
      </c>
    </row>
    <row r="6" spans="1:1">
      <c r="A6" s="1"/>
    </row>
    <row r="7" spans="1:1">
      <c r="A7" s="1" t="s">
        <v>4</v>
      </c>
    </row>
    <row r="8" spans="1:1">
      <c r="A8" s="3" t="s">
        <v>5</v>
      </c>
    </row>
    <row r="9" spans="1:1">
      <c r="A9" s="2" t="s">
        <v>6</v>
      </c>
    </row>
    <row r="10" spans="1:1">
      <c r="A10" s="2" t="s">
        <v>7</v>
      </c>
    </row>
    <row r="11" spans="1:1">
      <c r="A11" s="2" t="s">
        <v>8</v>
      </c>
    </row>
    <row r="12" spans="1:1">
      <c r="A12" s="2"/>
    </row>
    <row r="14" spans="1:1">
      <c r="A14" s="1" t="s">
        <v>9</v>
      </c>
    </row>
    <row r="16" spans="1:1">
      <c r="A16" s="1" t="s">
        <v>10</v>
      </c>
    </row>
    <row r="17" spans="1:8">
      <c r="A17" s="4" t="s">
        <v>11</v>
      </c>
    </row>
    <row r="18" spans="1:8">
      <c r="A18" s="5" t="s">
        <v>12</v>
      </c>
      <c r="B18" s="6"/>
      <c r="C18" s="6"/>
      <c r="D18" s="6"/>
      <c r="E18" s="6"/>
      <c r="F18" s="6"/>
      <c r="G18" s="6"/>
      <c r="H18" s="6"/>
    </row>
    <row r="19" spans="1:8">
      <c r="A19" s="5" t="s">
        <v>13</v>
      </c>
    </row>
    <row r="20" spans="1:8">
      <c r="A20" s="2" t="s">
        <v>14</v>
      </c>
    </row>
    <row r="21" spans="1:8">
      <c r="A21" s="1"/>
    </row>
    <row r="22" spans="1:8">
      <c r="A22" s="1" t="s">
        <v>15</v>
      </c>
    </row>
    <row r="23" spans="1:8">
      <c r="A23" s="7" t="s">
        <v>16</v>
      </c>
      <c r="B23" s="6"/>
      <c r="C23" s="6"/>
      <c r="D23" s="6"/>
      <c r="E23" s="6"/>
      <c r="F23" s="6"/>
    </row>
    <row r="24" spans="1:8">
      <c r="A24" s="8"/>
    </row>
    <row r="25" spans="1:8">
      <c r="A25" s="9" t="s">
        <v>17</v>
      </c>
    </row>
    <row r="26" spans="1:8">
      <c r="A26" s="9"/>
    </row>
    <row r="27" spans="1:8">
      <c r="A27" s="9" t="s">
        <v>18</v>
      </c>
    </row>
    <row r="28" spans="1:8">
      <c r="A28" s="9"/>
    </row>
    <row r="29" spans="1:8">
      <c r="A29" s="9" t="s">
        <v>19</v>
      </c>
    </row>
    <row r="30" spans="1:8">
      <c r="A30" s="9"/>
    </row>
    <row r="31" spans="1:8">
      <c r="A31" s="9" t="s">
        <v>20</v>
      </c>
    </row>
    <row r="32" spans="1:8">
      <c r="A32" s="9"/>
    </row>
    <row r="33" spans="1:6">
      <c r="A33" s="9" t="s">
        <v>21</v>
      </c>
    </row>
    <row r="34" spans="1:6">
      <c r="A34" s="9"/>
    </row>
    <row r="35" spans="1:6">
      <c r="A35" s="9" t="s">
        <v>22</v>
      </c>
    </row>
    <row r="36" spans="1:6">
      <c r="A36" s="9"/>
    </row>
    <row r="37" spans="1:6">
      <c r="A37" s="9" t="s">
        <v>23</v>
      </c>
    </row>
    <row r="38" spans="1:6">
      <c r="A38" s="9"/>
    </row>
    <row r="39" spans="1:6">
      <c r="A39" s="9" t="s">
        <v>24</v>
      </c>
    </row>
    <row r="40" spans="1:6">
      <c r="A40" s="7" t="s">
        <v>25</v>
      </c>
      <c r="B40" s="6"/>
      <c r="C40" s="6"/>
      <c r="D40" s="6"/>
      <c r="E40" s="6"/>
      <c r="F40" s="6"/>
    </row>
    <row r="41" spans="1:6">
      <c r="A41" s="10"/>
    </row>
    <row r="42" spans="1:6">
      <c r="A42" s="9" t="s">
        <v>26</v>
      </c>
    </row>
    <row r="43" spans="1:6">
      <c r="A43" s="9"/>
    </row>
    <row r="44" spans="1:6">
      <c r="A44" s="9" t="s">
        <v>27</v>
      </c>
    </row>
    <row r="47" spans="1:6">
      <c r="A47" s="7" t="s">
        <v>28</v>
      </c>
      <c r="B47" s="6"/>
      <c r="C47" s="6"/>
      <c r="D47" s="6"/>
      <c r="E47" s="6"/>
      <c r="F47" s="6"/>
    </row>
    <row r="48" spans="1:6">
      <c r="A48" s="8"/>
    </row>
    <row r="49" spans="1:6">
      <c r="A49" s="9" t="s">
        <v>29</v>
      </c>
    </row>
    <row r="50" spans="1:6">
      <c r="A50" s="9"/>
    </row>
    <row r="51" spans="1:6">
      <c r="A51" s="9" t="s">
        <v>30</v>
      </c>
    </row>
    <row r="52" spans="1:6">
      <c r="A52" s="9"/>
    </row>
    <row r="53" spans="1:6">
      <c r="A53" s="9" t="s">
        <v>31</v>
      </c>
    </row>
    <row r="54" spans="1:6">
      <c r="A54" s="7" t="s">
        <v>32</v>
      </c>
      <c r="B54" s="6"/>
      <c r="C54" s="6"/>
      <c r="D54" s="6"/>
      <c r="E54" s="6"/>
      <c r="F54" s="6"/>
    </row>
    <row r="55" spans="1:6">
      <c r="A55" s="7"/>
      <c r="B55" s="6"/>
      <c r="C55" s="6"/>
      <c r="D55" s="6"/>
      <c r="E55" s="6"/>
      <c r="F55" s="6"/>
    </row>
    <row r="56" spans="1:6">
      <c r="A56" s="7" t="s">
        <v>33</v>
      </c>
      <c r="B56" s="6"/>
      <c r="C56" s="6"/>
      <c r="D56" s="6"/>
      <c r="E56" s="6"/>
      <c r="F56" s="6"/>
    </row>
    <row r="57" spans="1:6">
      <c r="A57" s="7"/>
      <c r="B57" s="6"/>
      <c r="C57" s="6"/>
      <c r="D57" s="6"/>
      <c r="E57" s="6"/>
      <c r="F57" s="6"/>
    </row>
    <row r="58" spans="1:6">
      <c r="A58" s="7" t="s">
        <v>34</v>
      </c>
      <c r="B58" s="6"/>
      <c r="C58" s="6"/>
      <c r="D58" s="6"/>
      <c r="E58" s="6"/>
      <c r="F58" s="6"/>
    </row>
    <row r="59" spans="1:6">
      <c r="A59" s="7"/>
      <c r="B59" s="6"/>
      <c r="C59" s="6"/>
      <c r="D59" s="6"/>
      <c r="E59" s="6"/>
      <c r="F59" s="6"/>
    </row>
    <row r="60" spans="1:6">
      <c r="A60" s="7" t="s">
        <v>35</v>
      </c>
      <c r="B60" s="6"/>
      <c r="C60" s="6"/>
      <c r="D60" s="6"/>
      <c r="E60" s="6"/>
      <c r="F60" s="6"/>
    </row>
    <row r="61" spans="1:6">
      <c r="A61" s="7"/>
      <c r="B61" s="6"/>
      <c r="C61" s="6"/>
      <c r="D61" s="6"/>
      <c r="E61" s="6"/>
      <c r="F61" s="6"/>
    </row>
    <row r="62" spans="1:6">
      <c r="A62" s="7" t="s">
        <v>36</v>
      </c>
      <c r="B62" s="6"/>
      <c r="C62" s="6"/>
      <c r="D62" s="6"/>
      <c r="E62" s="6"/>
      <c r="F62" s="6"/>
    </row>
    <row r="63" spans="1:6">
      <c r="A63" s="7" t="s">
        <v>37</v>
      </c>
      <c r="B63" s="6"/>
      <c r="C63" s="6"/>
      <c r="D63" s="6"/>
      <c r="E63" s="6"/>
      <c r="F63" s="6"/>
    </row>
    <row r="64" spans="1:6">
      <c r="A64" s="7"/>
      <c r="B64" s="6"/>
      <c r="C64" s="6"/>
      <c r="D64" s="6"/>
      <c r="E64" s="6"/>
      <c r="F64" s="6"/>
    </row>
    <row r="65" spans="1:6">
      <c r="A65" s="7" t="s">
        <v>38</v>
      </c>
      <c r="B65" s="6"/>
      <c r="C65" s="6"/>
      <c r="D65" s="6"/>
      <c r="E65" s="6"/>
      <c r="F65" s="6"/>
    </row>
    <row r="66" spans="1:6">
      <c r="A66" s="7"/>
      <c r="B66" s="6"/>
      <c r="C66" s="6"/>
      <c r="D66" s="6"/>
      <c r="E66" s="6"/>
      <c r="F66" s="6"/>
    </row>
    <row r="67" spans="1:6">
      <c r="A67" s="7" t="s">
        <v>39</v>
      </c>
      <c r="B67" s="6"/>
      <c r="C67" s="6"/>
      <c r="D67" s="6"/>
      <c r="E67" s="6"/>
      <c r="F67" s="6"/>
    </row>
    <row r="68" spans="1:6">
      <c r="A68" s="10"/>
    </row>
    <row r="69" spans="1:6">
      <c r="A69" s="9" t="s">
        <v>40</v>
      </c>
    </row>
    <row r="70" spans="1:6">
      <c r="A70" s="9"/>
    </row>
    <row r="71" spans="1:6">
      <c r="A71" s="9" t="s">
        <v>41</v>
      </c>
    </row>
    <row r="72" spans="1:6">
      <c r="A72" s="9"/>
    </row>
    <row r="73" spans="1:6">
      <c r="A73" s="11" t="s">
        <v>42</v>
      </c>
      <c r="B73" s="6"/>
      <c r="C73" s="6"/>
      <c r="D73" s="6"/>
      <c r="E73" s="6"/>
    </row>
    <row r="74" spans="1:6">
      <c r="A74" s="10"/>
    </row>
    <row r="75" spans="1:6">
      <c r="A75" s="9" t="s">
        <v>43</v>
      </c>
    </row>
    <row r="76" spans="1:6">
      <c r="A76" s="9"/>
    </row>
    <row r="77" spans="1:6">
      <c r="A77" s="9" t="s">
        <v>44</v>
      </c>
    </row>
    <row r="78" spans="1:6">
      <c r="A78" s="9"/>
    </row>
    <row r="79" spans="1:6">
      <c r="A79" s="9" t="s">
        <v>45</v>
      </c>
    </row>
    <row r="83" spans="1:1">
      <c r="A83" s="12" t="s">
        <v>46</v>
      </c>
    </row>
    <row r="84" spans="1:1">
      <c r="A84" s="8"/>
    </row>
    <row r="85" spans="1:1">
      <c r="A85" s="8" t="s">
        <v>47</v>
      </c>
    </row>
    <row r="86" spans="1:1">
      <c r="A86" s="7"/>
    </row>
    <row r="87" spans="1:1">
      <c r="A87" s="7" t="s">
        <v>48</v>
      </c>
    </row>
    <row r="88" spans="1:1">
      <c r="A88" s="13"/>
    </row>
    <row r="89" spans="1:1">
      <c r="A89" s="13" t="s">
        <v>49</v>
      </c>
    </row>
    <row r="90" spans="1:1">
      <c r="A90" s="13"/>
    </row>
    <row r="91" spans="1:1">
      <c r="A91" s="13" t="s">
        <v>50</v>
      </c>
    </row>
    <row r="92" spans="1:1">
      <c r="A92" s="13"/>
    </row>
    <row r="93" spans="1:1">
      <c r="A93" s="1" t="s">
        <v>51</v>
      </c>
    </row>
    <row r="94" spans="1:1">
      <c r="A94" s="1"/>
    </row>
    <row r="95" spans="1:1">
      <c r="A95" s="1" t="s">
        <v>52</v>
      </c>
    </row>
    <row r="96" spans="1:1">
      <c r="A96" s="1"/>
    </row>
    <row r="97" spans="1:1">
      <c r="A97" s="9" t="s">
        <v>53</v>
      </c>
    </row>
    <row r="98" spans="1:1">
      <c r="A98" s="9"/>
    </row>
    <row r="99" spans="1:1">
      <c r="A99" s="11" t="s">
        <v>54</v>
      </c>
    </row>
    <row r="100" spans="1:1">
      <c r="A100" s="14"/>
    </row>
    <row r="101" spans="1:1">
      <c r="A101" s="9" t="s">
        <v>55</v>
      </c>
    </row>
    <row r="102" spans="1:1">
      <c r="A102" s="9"/>
    </row>
    <row r="103" spans="1:1">
      <c r="A103" s="9" t="s">
        <v>56</v>
      </c>
    </row>
    <row r="104" spans="1:1">
      <c r="A104" s="9"/>
    </row>
    <row r="105" spans="1:1">
      <c r="A105" s="9" t="s">
        <v>57</v>
      </c>
    </row>
    <row r="106" spans="1:1">
      <c r="A106" s="9"/>
    </row>
    <row r="107" spans="1:1">
      <c r="A107" s="9" t="s">
        <v>58</v>
      </c>
    </row>
    <row r="108" spans="1:1">
      <c r="A108" s="9"/>
    </row>
    <row r="109" spans="1:1">
      <c r="A109" s="9" t="s">
        <v>59</v>
      </c>
    </row>
    <row r="110" spans="1:1">
      <c r="A110" s="9"/>
    </row>
    <row r="111" spans="1:1">
      <c r="A111" s="11" t="s">
        <v>60</v>
      </c>
    </row>
    <row r="112" spans="1:1">
      <c r="A112" s="14"/>
    </row>
    <row r="113" spans="1:1">
      <c r="A113" s="14" t="s">
        <v>61</v>
      </c>
    </row>
    <row r="114" spans="1:1">
      <c r="A114" s="14"/>
    </row>
    <row r="115" spans="1:1">
      <c r="A115" s="9" t="s">
        <v>62</v>
      </c>
    </row>
    <row r="116" spans="1:1">
      <c r="A116" s="9"/>
    </row>
    <row r="117" spans="1:1">
      <c r="A117" s="9" t="s">
        <v>63</v>
      </c>
    </row>
    <row r="118" spans="1:1">
      <c r="A118" s="9"/>
    </row>
    <row r="119" spans="1:1">
      <c r="A119" s="15" t="s">
        <v>64</v>
      </c>
    </row>
    <row r="120" spans="1:1">
      <c r="A120" s="10"/>
    </row>
    <row r="121" spans="1:1">
      <c r="A121" s="9" t="s">
        <v>65</v>
      </c>
    </row>
    <row r="122" spans="1:1">
      <c r="A122" s="11"/>
    </row>
    <row r="123" spans="1:1">
      <c r="A123" s="11" t="s">
        <v>66</v>
      </c>
    </row>
    <row r="124" spans="1:1">
      <c r="A124" s="14"/>
    </row>
    <row r="125" spans="1:1">
      <c r="A125" s="9" t="s">
        <v>67</v>
      </c>
    </row>
    <row r="126" spans="1:1">
      <c r="A126" s="11" t="s">
        <v>68</v>
      </c>
    </row>
    <row r="127" spans="1:1">
      <c r="A127" s="14"/>
    </row>
    <row r="128" spans="1:1">
      <c r="A128" s="9" t="s">
        <v>69</v>
      </c>
    </row>
    <row r="129" spans="1:1">
      <c r="A129" s="11" t="s">
        <v>70</v>
      </c>
    </row>
    <row r="130" spans="1:1">
      <c r="A130" s="14"/>
    </row>
    <row r="131" spans="1:1">
      <c r="A131" s="9" t="s">
        <v>71</v>
      </c>
    </row>
    <row r="132" spans="1:1">
      <c r="A132" s="11" t="s">
        <v>72</v>
      </c>
    </row>
    <row r="133" spans="1:1">
      <c r="A133" s="14"/>
    </row>
    <row r="134" spans="1:1">
      <c r="A134" s="9" t="s">
        <v>73</v>
      </c>
    </row>
    <row r="135" spans="1:1">
      <c r="A135" s="11" t="s">
        <v>74</v>
      </c>
    </row>
    <row r="136" spans="1:1">
      <c r="A136" s="14"/>
    </row>
    <row r="137" spans="1:1">
      <c r="A137" s="9" t="s">
        <v>75</v>
      </c>
    </row>
    <row r="154" spans="2:2" ht="15.75" customHeight="1">
      <c r="B154" s="16" t="s">
        <v>76</v>
      </c>
    </row>
    <row r="155" spans="2:2" ht="15.75" customHeight="1">
      <c r="B155" s="17" t="s">
        <v>77</v>
      </c>
    </row>
    <row r="156" spans="2:2" ht="15.75" customHeight="1">
      <c r="B156" s="17" t="s">
        <v>78</v>
      </c>
    </row>
    <row r="157" spans="2:2" ht="15.75" customHeight="1">
      <c r="B157" s="17" t="s">
        <v>79</v>
      </c>
    </row>
    <row r="158" spans="2:2" ht="15.75" customHeight="1">
      <c r="B158" s="17" t="s">
        <v>80</v>
      </c>
    </row>
    <row r="159" spans="2:2" ht="15.75" customHeight="1">
      <c r="B159" s="16" t="s">
        <v>81</v>
      </c>
    </row>
    <row r="160" spans="2:2" ht="15.75" customHeight="1">
      <c r="B160" s="17" t="s">
        <v>82</v>
      </c>
    </row>
    <row r="161" spans="2:2" ht="15.75" customHeight="1">
      <c r="B161" s="17" t="s">
        <v>83</v>
      </c>
    </row>
  </sheetData>
  <pageMargins left="0" right="0" top="0" bottom="0" header="0" footer="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L119"/>
  <sheetViews>
    <sheetView showGridLines="0" tabSelected="1" topLeftCell="A95" workbookViewId="0">
      <selection activeCell="A109" sqref="A109:XFD114"/>
    </sheetView>
  </sheetViews>
  <sheetFormatPr defaultColWidth="12.5703125" defaultRowHeight="15.75" customHeight="1"/>
  <cols>
    <col min="1" max="1" width="24.7109375" customWidth="1"/>
    <col min="2" max="2" width="20.5703125" customWidth="1"/>
    <col min="3" max="3" width="16.5703125" customWidth="1"/>
    <col min="4" max="4" width="15.140625" customWidth="1"/>
  </cols>
  <sheetData>
    <row r="1" spans="1:12" ht="20.25">
      <c r="A1" s="47" t="s">
        <v>84</v>
      </c>
      <c r="B1" s="30"/>
      <c r="C1" s="30"/>
      <c r="D1" s="30"/>
    </row>
    <row r="2" spans="1:12" ht="15.75" customHeight="1">
      <c r="A2" s="40"/>
    </row>
    <row r="3" spans="1:12" ht="15.75" customHeight="1">
      <c r="A3" s="41" t="s">
        <v>85</v>
      </c>
    </row>
    <row r="4" spans="1:12" ht="15.75" customHeight="1">
      <c r="A4" t="s">
        <v>86</v>
      </c>
    </row>
    <row r="5" spans="1:12" ht="12.75">
      <c r="A5" t="s">
        <v>87</v>
      </c>
    </row>
    <row r="6" spans="1:12" ht="12.75">
      <c r="A6" t="s">
        <v>88</v>
      </c>
    </row>
    <row r="7" spans="1:12" ht="15">
      <c r="A7" s="46" t="s">
        <v>89</v>
      </c>
    </row>
    <row r="9" spans="1:12" ht="15.75" customHeight="1">
      <c r="A9" s="40" t="s">
        <v>90</v>
      </c>
    </row>
    <row r="10" spans="1:12" ht="12.75">
      <c r="A10" t="s">
        <v>91</v>
      </c>
    </row>
    <row r="11" spans="1:12" ht="12.75">
      <c r="A11" t="s">
        <v>92</v>
      </c>
    </row>
    <row r="12" spans="1:12" ht="12.75">
      <c r="A12" t="s">
        <v>93</v>
      </c>
      <c r="L12" s="26"/>
    </row>
    <row r="13" spans="1:12" ht="15">
      <c r="A13" s="46" t="s">
        <v>94</v>
      </c>
      <c r="L13" s="26"/>
    </row>
    <row r="14" spans="1:12" ht="15">
      <c r="A14" s="46"/>
      <c r="L14" s="26"/>
    </row>
    <row r="15" spans="1:12" ht="15.75" customHeight="1">
      <c r="A15" s="18" t="s">
        <v>95</v>
      </c>
      <c r="B15" s="19" t="s">
        <v>96</v>
      </c>
      <c r="C15" s="19" t="s">
        <v>97</v>
      </c>
    </row>
    <row r="16" spans="1:12" ht="15.75" customHeight="1">
      <c r="A16" s="18" t="s">
        <v>98</v>
      </c>
      <c r="B16" s="20">
        <f>(SUM(trending_videos!C2:C101)+SUM(trending_videos!D2:D101)+SUM(trending_videos!E2:E101))/SUM(trending_videos!F2:F101)</f>
        <v>0.11906170350616259</v>
      </c>
      <c r="C16" s="21">
        <f>AVERAGE(trending_videos!F2:F101)/1000000</f>
        <v>23.384910999999999</v>
      </c>
    </row>
    <row r="17" spans="1:5" ht="15.75" customHeight="1">
      <c r="A17" s="22" t="s">
        <v>99</v>
      </c>
      <c r="B17" s="20">
        <f>(SUM(tiktok_funny_hashtag_videos!D2:D101)+SUM(tiktok_funny_hashtag_videos!E2:E101)+SUM(tiktok_funny_hashtag_videos!F2:F101))/SUM(tiktok_funny_hashtag_videos!G2:G101)</f>
        <v>0.14304057365180126</v>
      </c>
      <c r="C17" s="21">
        <f>AVERAGE(tiktok_funny_hashtag_videos!G2:G101)/1000000</f>
        <v>68.369</v>
      </c>
    </row>
    <row r="21" spans="1:5" ht="14.25">
      <c r="A21" s="27"/>
      <c r="B21" s="28"/>
      <c r="C21" s="29"/>
    </row>
    <row r="22" spans="1:5">
      <c r="A22" s="42" t="s">
        <v>100</v>
      </c>
      <c r="B22" s="44"/>
      <c r="C22" s="29"/>
    </row>
    <row r="23" spans="1:5" ht="15.75" customHeight="1">
      <c r="A23" s="43" t="s">
        <v>101</v>
      </c>
      <c r="B23" s="43"/>
    </row>
    <row r="24" spans="1:5" ht="15.75" customHeight="1">
      <c r="A24" s="43" t="s">
        <v>102</v>
      </c>
      <c r="B24" s="43"/>
    </row>
    <row r="25" spans="1:5" ht="14.25" customHeight="1"/>
    <row r="26" spans="1:5" ht="30" customHeight="1">
      <c r="A26" s="52" t="s">
        <v>103</v>
      </c>
      <c r="B26" s="53" t="s">
        <v>104</v>
      </c>
      <c r="C26" s="53" t="s">
        <v>105</v>
      </c>
      <c r="D26" s="53" t="s">
        <v>106</v>
      </c>
      <c r="E26" s="53" t="s">
        <v>107</v>
      </c>
    </row>
    <row r="27" spans="1:5" ht="15.75" customHeight="1">
      <c r="A27" s="23" t="s">
        <v>108</v>
      </c>
      <c r="B27" s="23" t="s">
        <v>98</v>
      </c>
      <c r="C27" s="24">
        <v>152146000</v>
      </c>
      <c r="D27" s="23">
        <v>18</v>
      </c>
      <c r="E27" s="25">
        <v>0.114</v>
      </c>
    </row>
    <row r="28" spans="1:5" ht="15.75" customHeight="1">
      <c r="A28" s="23" t="s">
        <v>108</v>
      </c>
      <c r="B28" s="23" t="s">
        <v>99</v>
      </c>
      <c r="C28" s="24">
        <v>1425000000</v>
      </c>
      <c r="D28" s="23">
        <v>15</v>
      </c>
      <c r="E28" s="25">
        <v>0.16800000000000001</v>
      </c>
    </row>
    <row r="29" spans="1:5" ht="15.75" customHeight="1">
      <c r="A29" s="23" t="s">
        <v>109</v>
      </c>
      <c r="B29" s="23" t="s">
        <v>98</v>
      </c>
      <c r="C29" s="24">
        <v>284500000</v>
      </c>
      <c r="D29" s="23">
        <v>14</v>
      </c>
      <c r="E29" s="25">
        <v>0.129</v>
      </c>
    </row>
    <row r="30" spans="1:5" ht="15.75" customHeight="1">
      <c r="A30" s="23" t="s">
        <v>109</v>
      </c>
      <c r="B30" s="23" t="s">
        <v>99</v>
      </c>
      <c r="C30" s="24">
        <v>1777200000</v>
      </c>
      <c r="D30" s="23">
        <v>29</v>
      </c>
      <c r="E30" s="25">
        <v>0.16700000000000001</v>
      </c>
    </row>
    <row r="31" spans="1:5" ht="15.75" customHeight="1">
      <c r="A31" s="23" t="s">
        <v>110</v>
      </c>
      <c r="B31" s="23" t="s">
        <v>98</v>
      </c>
      <c r="C31" s="24">
        <v>310082800</v>
      </c>
      <c r="D31" s="23">
        <v>14</v>
      </c>
      <c r="E31" s="25">
        <v>9.2999999999999999E-2</v>
      </c>
    </row>
    <row r="32" spans="1:5" ht="15.75" customHeight="1">
      <c r="A32" s="23" t="s">
        <v>110</v>
      </c>
      <c r="B32" s="23" t="s">
        <v>99</v>
      </c>
      <c r="C32" s="24">
        <v>2806600000</v>
      </c>
      <c r="D32" s="23">
        <v>43</v>
      </c>
      <c r="E32" s="25">
        <v>0.16200000000000001</v>
      </c>
    </row>
    <row r="33" spans="1:5" ht="15.75" customHeight="1">
      <c r="A33" s="23" t="s">
        <v>111</v>
      </c>
      <c r="B33" s="23" t="s">
        <v>98</v>
      </c>
      <c r="C33" s="24">
        <v>309800000</v>
      </c>
      <c r="D33" s="23">
        <v>8</v>
      </c>
      <c r="E33" s="25">
        <v>0.11899999999999999</v>
      </c>
    </row>
    <row r="34" spans="1:5" ht="15.75" customHeight="1">
      <c r="A34" s="23" t="s">
        <v>111</v>
      </c>
      <c r="B34" s="23" t="s">
        <v>99</v>
      </c>
      <c r="C34" s="24">
        <v>245100000</v>
      </c>
      <c r="D34" s="23">
        <v>5</v>
      </c>
      <c r="E34" s="25">
        <v>0.17299999999999999</v>
      </c>
    </row>
    <row r="35" spans="1:5" ht="15.75" customHeight="1">
      <c r="A35" s="23" t="s">
        <v>112</v>
      </c>
      <c r="B35" s="23" t="s">
        <v>98</v>
      </c>
      <c r="C35" s="24">
        <v>216400000</v>
      </c>
      <c r="D35" s="23">
        <v>6</v>
      </c>
      <c r="E35" s="25">
        <v>0.21099999999999999</v>
      </c>
    </row>
    <row r="36" spans="1:5" ht="15.75" customHeight="1">
      <c r="A36" s="23" t="s">
        <v>112</v>
      </c>
      <c r="B36" s="23" t="s">
        <v>99</v>
      </c>
      <c r="C36" s="24">
        <v>287000000</v>
      </c>
      <c r="D36" s="23">
        <v>4</v>
      </c>
      <c r="E36" s="25">
        <v>0.14000000000000001</v>
      </c>
    </row>
    <row r="37" spans="1:5" ht="15.75" customHeight="1">
      <c r="A37" s="23" t="s">
        <v>113</v>
      </c>
      <c r="B37" s="23" t="s">
        <v>98</v>
      </c>
      <c r="C37" s="24">
        <v>134500000</v>
      </c>
      <c r="D37" s="23">
        <v>3</v>
      </c>
      <c r="E37" s="25">
        <v>0.106</v>
      </c>
    </row>
    <row r="38" spans="1:5" ht="15.75" customHeight="1">
      <c r="A38" s="23" t="s">
        <v>113</v>
      </c>
      <c r="B38" s="23" t="s">
        <v>99</v>
      </c>
      <c r="C38" s="24">
        <v>296000000</v>
      </c>
      <c r="D38" s="23">
        <v>4</v>
      </c>
      <c r="E38" s="25">
        <v>0.13100000000000001</v>
      </c>
    </row>
    <row r="39" spans="1:5" ht="15.75" customHeight="1">
      <c r="A39" s="23" t="s">
        <v>114</v>
      </c>
      <c r="B39" s="23" t="s">
        <v>98</v>
      </c>
      <c r="C39" s="24">
        <v>681962300</v>
      </c>
      <c r="D39" s="23">
        <v>24</v>
      </c>
      <c r="E39" s="25">
        <v>0.112</v>
      </c>
    </row>
    <row r="40" spans="1:5" ht="15.75" customHeight="1">
      <c r="A40" s="23"/>
      <c r="B40" s="23"/>
      <c r="C40" s="24"/>
      <c r="D40" s="23"/>
      <c r="E40" s="25"/>
    </row>
    <row r="42" spans="1:5" ht="15.75" customHeight="1">
      <c r="A42" s="23"/>
      <c r="B42" s="23"/>
      <c r="C42" s="23"/>
      <c r="D42" s="23"/>
      <c r="E42" s="23"/>
    </row>
    <row r="53" spans="1:9" ht="15.75" customHeight="1">
      <c r="A53" s="45" t="s">
        <v>115</v>
      </c>
    </row>
    <row r="54" spans="1:9" ht="15.75" customHeight="1">
      <c r="A54" s="41" t="s">
        <v>116</v>
      </c>
    </row>
    <row r="55" spans="1:9" ht="15.75" customHeight="1">
      <c r="A55" s="46" t="s">
        <v>117</v>
      </c>
    </row>
    <row r="56" spans="1:9" ht="15.75" customHeight="1">
      <c r="A56" s="46"/>
    </row>
    <row r="57" spans="1:9" ht="36">
      <c r="A57" s="51" t="s">
        <v>103</v>
      </c>
      <c r="B57" s="51" t="s">
        <v>118</v>
      </c>
      <c r="C57" s="51" t="s">
        <v>119</v>
      </c>
      <c r="D57" s="51" t="s">
        <v>120</v>
      </c>
      <c r="E57" s="51" t="s">
        <v>121</v>
      </c>
      <c r="F57" s="51" t="s">
        <v>122</v>
      </c>
      <c r="G57" s="51" t="s">
        <v>123</v>
      </c>
      <c r="H57" s="51" t="s">
        <v>124</v>
      </c>
      <c r="I57" s="51" t="s">
        <v>125</v>
      </c>
    </row>
    <row r="58" spans="1:9" ht="15.75" customHeight="1">
      <c r="A58" s="32" t="s">
        <v>110</v>
      </c>
      <c r="B58" s="38">
        <v>2</v>
      </c>
      <c r="C58" s="33">
        <v>0.02</v>
      </c>
      <c r="D58" s="32">
        <v>16</v>
      </c>
      <c r="E58" s="33">
        <v>0.16</v>
      </c>
      <c r="F58" s="34">
        <v>0.14000000000000001</v>
      </c>
      <c r="G58" s="35">
        <v>3.2</v>
      </c>
      <c r="H58" s="35">
        <v>20.9</v>
      </c>
      <c r="I58" s="36">
        <v>0.19500000000000001</v>
      </c>
    </row>
    <row r="59" spans="1:9" ht="15.75" customHeight="1">
      <c r="A59" s="32" t="s">
        <v>112</v>
      </c>
      <c r="B59" s="38">
        <v>27</v>
      </c>
      <c r="C59" s="33">
        <v>0.27</v>
      </c>
      <c r="D59" s="32">
        <v>29</v>
      </c>
      <c r="E59" s="33">
        <v>0.28999999999999998</v>
      </c>
      <c r="F59" s="34">
        <v>0.02</v>
      </c>
      <c r="G59" s="35">
        <v>3.4</v>
      </c>
      <c r="H59" s="35">
        <v>9.6</v>
      </c>
      <c r="I59" s="36">
        <v>0.13300000000000001</v>
      </c>
    </row>
    <row r="60" spans="1:9" ht="15.75" customHeight="1">
      <c r="A60" s="32" t="s">
        <v>113</v>
      </c>
      <c r="B60" s="38">
        <v>7</v>
      </c>
      <c r="C60" s="33">
        <v>7.0000000000000007E-2</v>
      </c>
      <c r="D60" s="32">
        <v>12</v>
      </c>
      <c r="E60" s="33">
        <v>0.12</v>
      </c>
      <c r="F60" s="34">
        <v>0.05</v>
      </c>
      <c r="G60" s="35">
        <v>1.8</v>
      </c>
      <c r="H60" s="35">
        <v>10.199999999999999</v>
      </c>
      <c r="I60" s="36">
        <v>0.14699999999999999</v>
      </c>
    </row>
    <row r="61" spans="1:9" ht="15.75" customHeight="1">
      <c r="A61" s="32" t="s">
        <v>109</v>
      </c>
      <c r="B61" s="38">
        <v>1</v>
      </c>
      <c r="C61" s="33">
        <v>0.01</v>
      </c>
      <c r="D61" s="32">
        <v>7</v>
      </c>
      <c r="E61" s="33">
        <v>7.0000000000000007E-2</v>
      </c>
      <c r="F61" s="34">
        <v>0.06</v>
      </c>
      <c r="G61" s="35">
        <v>1.4</v>
      </c>
      <c r="H61" s="35">
        <v>12.1</v>
      </c>
      <c r="I61" s="36">
        <v>0.191</v>
      </c>
    </row>
    <row r="62" spans="1:9" ht="15.75" customHeight="1">
      <c r="A62" s="32" t="s">
        <v>108</v>
      </c>
      <c r="B62" s="38">
        <v>6</v>
      </c>
      <c r="C62" s="33">
        <v>0.06</v>
      </c>
      <c r="D62" s="32">
        <v>4</v>
      </c>
      <c r="E62" s="33">
        <v>0.04</v>
      </c>
      <c r="F62" s="34">
        <v>-0.02</v>
      </c>
      <c r="G62" s="35">
        <v>31.3</v>
      </c>
      <c r="H62" s="35">
        <v>13.1</v>
      </c>
      <c r="I62" s="36">
        <v>0.26500000000000001</v>
      </c>
    </row>
    <row r="63" spans="1:9" ht="15.75" customHeight="1">
      <c r="A63" s="32" t="s">
        <v>111</v>
      </c>
      <c r="B63" s="38">
        <v>18</v>
      </c>
      <c r="C63" s="33">
        <v>0.18</v>
      </c>
      <c r="D63" s="32">
        <v>7</v>
      </c>
      <c r="E63" s="33">
        <v>7.0000000000000007E-2</v>
      </c>
      <c r="F63" s="34">
        <v>-0.11</v>
      </c>
      <c r="G63" s="35">
        <v>25.7</v>
      </c>
      <c r="H63" s="35">
        <v>10.9</v>
      </c>
      <c r="I63" s="36">
        <v>0.192</v>
      </c>
    </row>
    <row r="64" spans="1:9" ht="15.75" customHeight="1">
      <c r="A64" s="32" t="s">
        <v>126</v>
      </c>
      <c r="B64" s="38">
        <v>32</v>
      </c>
      <c r="C64" s="33">
        <v>0.32</v>
      </c>
      <c r="D64" s="32">
        <v>1</v>
      </c>
      <c r="E64" s="33">
        <v>0.01</v>
      </c>
      <c r="F64" s="34">
        <v>-0.31</v>
      </c>
      <c r="G64" s="35">
        <v>14.4</v>
      </c>
      <c r="H64" s="35">
        <v>41.5</v>
      </c>
      <c r="I64" s="36">
        <v>0.21299999999999999</v>
      </c>
    </row>
    <row r="65" spans="1:9" ht="15.75" customHeight="1">
      <c r="A65" s="32" t="s">
        <v>114</v>
      </c>
      <c r="B65" s="38">
        <v>7</v>
      </c>
      <c r="C65" s="33">
        <v>7.0000000000000007E-2</v>
      </c>
      <c r="D65" s="32">
        <v>19</v>
      </c>
      <c r="E65" s="33">
        <v>0.19</v>
      </c>
      <c r="F65" s="34">
        <v>0.12</v>
      </c>
      <c r="G65" s="35">
        <v>19.899999999999999</v>
      </c>
      <c r="H65" s="35">
        <v>20.100000000000001</v>
      </c>
      <c r="I65" s="36">
        <v>0.22900000000000001</v>
      </c>
    </row>
    <row r="66" spans="1:9" ht="15.75" customHeight="1">
      <c r="A66" s="32" t="s">
        <v>127</v>
      </c>
      <c r="B66" s="38">
        <v>0</v>
      </c>
      <c r="C66" s="33">
        <v>0</v>
      </c>
      <c r="D66" s="32">
        <v>5</v>
      </c>
      <c r="E66" s="33">
        <v>0.05</v>
      </c>
      <c r="F66" s="34">
        <v>0.05</v>
      </c>
      <c r="G66" s="35" t="str">
        <f>IFERROR(AVERAGEIFS([1]Données_Marque!$H$2:$H$201,[1]Données_Marque!$B$2:$B$201,"Posté par la marque",[1]Données_Marque!$C$2:$C$201,A66)/1000000,"")</f>
        <v/>
      </c>
      <c r="H66" s="35">
        <v>8.8000000000000007</v>
      </c>
      <c r="I66" s="36">
        <v>0.23300000000000001</v>
      </c>
    </row>
    <row r="67" spans="1:9" ht="15.75" customHeight="1">
      <c r="A67" s="37" t="s">
        <v>128</v>
      </c>
      <c r="B67" s="37">
        <f>SUM(B58:B66)</f>
        <v>100</v>
      </c>
      <c r="D67" s="37">
        <f>SUM(D58:D66)</f>
        <v>100</v>
      </c>
    </row>
    <row r="69" spans="1:9" ht="15.75" customHeight="1">
      <c r="A69" s="31"/>
    </row>
    <row r="70" spans="1:9" ht="15.75" customHeight="1">
      <c r="A70" s="41" t="s">
        <v>129</v>
      </c>
      <c r="I70" s="40" t="s">
        <v>130</v>
      </c>
    </row>
    <row r="71" spans="1:9" ht="15.75" customHeight="1">
      <c r="A71" s="46" t="s">
        <v>131</v>
      </c>
      <c r="I71" t="s">
        <v>132</v>
      </c>
    </row>
    <row r="72" spans="1:9" ht="15.75" customHeight="1">
      <c r="A72" t="s">
        <v>133</v>
      </c>
      <c r="I72" t="s">
        <v>134</v>
      </c>
    </row>
    <row r="97" spans="1:2" s="43" customFormat="1" ht="15.75" customHeight="1"/>
    <row r="98" spans="1:2" s="43" customFormat="1">
      <c r="A98" s="39"/>
      <c r="B98" s="48"/>
    </row>
    <row r="99" spans="1:2" s="43" customFormat="1" ht="15.75" customHeight="1">
      <c r="A99" s="39" t="s">
        <v>135</v>
      </c>
    </row>
    <row r="100" spans="1:2" s="43" customFormat="1" ht="15.75" customHeight="1">
      <c r="A100" s="42" t="s">
        <v>136</v>
      </c>
    </row>
    <row r="101" spans="1:2" s="43" customFormat="1" ht="15.75" customHeight="1">
      <c r="A101" s="43" t="s">
        <v>137</v>
      </c>
    </row>
    <row r="102" spans="1:2" s="43" customFormat="1" ht="15.75" customHeight="1">
      <c r="A102" s="43" t="s">
        <v>138</v>
      </c>
    </row>
    <row r="103" spans="1:2" s="43" customFormat="1" ht="15.75" customHeight="1">
      <c r="A103" s="43" t="s">
        <v>139</v>
      </c>
    </row>
    <row r="104" spans="1:2" s="43" customFormat="1" ht="15.75" customHeight="1">
      <c r="A104" s="42" t="s">
        <v>140</v>
      </c>
    </row>
    <row r="105" spans="1:2" s="43" customFormat="1" ht="15.75" customHeight="1">
      <c r="A105" s="42" t="s">
        <v>141</v>
      </c>
    </row>
    <row r="106" spans="1:2" s="43" customFormat="1" ht="15.75" customHeight="1">
      <c r="A106" s="42" t="s">
        <v>142</v>
      </c>
    </row>
    <row r="107" spans="1:2" s="43" customFormat="1" ht="15.75" customHeight="1">
      <c r="A107" s="42" t="s">
        <v>143</v>
      </c>
    </row>
    <row r="108" spans="1:2" s="43" customFormat="1" ht="15.75" customHeight="1">
      <c r="A108" s="42"/>
    </row>
    <row r="109" spans="1:2" s="43" customFormat="1" ht="15.75" customHeight="1"/>
    <row r="110" spans="1:2" s="43" customFormat="1" ht="15.75" customHeight="1">
      <c r="A110" s="49" t="s">
        <v>144</v>
      </c>
    </row>
    <row r="111" spans="1:2" s="43" customFormat="1" ht="15.75" customHeight="1">
      <c r="A111" s="50" t="s">
        <v>145</v>
      </c>
    </row>
    <row r="112" spans="1:2" s="43" customFormat="1" ht="15.75" customHeight="1"/>
    <row r="113" s="43" customFormat="1" ht="15.75" customHeight="1"/>
    <row r="114" s="43" customFormat="1" ht="15.75" customHeight="1"/>
    <row r="115" s="43" customFormat="1" ht="15.75" customHeight="1"/>
    <row r="116" s="43" customFormat="1" ht="15.75" customHeight="1"/>
    <row r="117" s="43" customFormat="1" ht="15.75" customHeight="1"/>
    <row r="118" s="43" customFormat="1" ht="15.75" customHeight="1"/>
    <row r="119" s="43" customFormat="1" ht="15.75" customHeight="1"/>
  </sheetData>
  <pageMargins left="0" right="0" top="0" bottom="0" header="0" footer="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F101"/>
  <sheetViews>
    <sheetView workbookViewId="0">
      <selection activeCell="C1" sqref="C1:C1048576"/>
    </sheetView>
  </sheetViews>
  <sheetFormatPr defaultColWidth="12.5703125" defaultRowHeight="15.75" customHeight="1"/>
  <sheetData>
    <row r="1" spans="1:6">
      <c r="A1" s="3" t="s">
        <v>146</v>
      </c>
      <c r="B1" s="3" t="s">
        <v>147</v>
      </c>
      <c r="C1" s="3" t="s">
        <v>148</v>
      </c>
      <c r="D1" s="3" t="s">
        <v>149</v>
      </c>
      <c r="E1" s="3" t="s">
        <v>150</v>
      </c>
      <c r="F1" s="3" t="s">
        <v>151</v>
      </c>
    </row>
    <row r="2" spans="1:6">
      <c r="A2" s="3">
        <v>1629795759</v>
      </c>
      <c r="B2" s="3">
        <v>18</v>
      </c>
      <c r="C2" s="3">
        <v>3600000</v>
      </c>
      <c r="D2" s="3">
        <v>109500</v>
      </c>
      <c r="E2" s="3">
        <v>212900</v>
      </c>
      <c r="F2" s="3">
        <v>9700000</v>
      </c>
    </row>
    <row r="3" spans="1:6">
      <c r="A3" s="3">
        <v>1627270146</v>
      </c>
      <c r="B3" s="3">
        <v>9</v>
      </c>
      <c r="C3" s="3">
        <v>2500000</v>
      </c>
      <c r="D3" s="3">
        <v>233300</v>
      </c>
      <c r="E3" s="3">
        <v>31100</v>
      </c>
      <c r="F3" s="3">
        <v>34800000</v>
      </c>
    </row>
    <row r="4" spans="1:6">
      <c r="A4" s="3">
        <v>1624604959</v>
      </c>
      <c r="B4" s="3">
        <v>10</v>
      </c>
      <c r="C4" s="3">
        <v>4000000</v>
      </c>
      <c r="D4" s="3">
        <v>306500</v>
      </c>
      <c r="E4" s="3">
        <v>122500</v>
      </c>
      <c r="F4" s="3">
        <v>45100000</v>
      </c>
    </row>
    <row r="5" spans="1:6">
      <c r="A5" s="3">
        <v>1624757343</v>
      </c>
      <c r="B5" s="3">
        <v>27</v>
      </c>
      <c r="C5" s="3">
        <v>11300000</v>
      </c>
      <c r="D5" s="3">
        <v>908100</v>
      </c>
      <c r="E5" s="3">
        <v>125200</v>
      </c>
      <c r="F5" s="3">
        <v>101200000</v>
      </c>
    </row>
    <row r="6" spans="1:6">
      <c r="A6" s="3">
        <v>1622250623</v>
      </c>
      <c r="B6" s="3">
        <v>15</v>
      </c>
      <c r="C6" s="3">
        <v>2700000</v>
      </c>
      <c r="D6" s="3">
        <v>18300</v>
      </c>
      <c r="E6" s="3">
        <v>59700</v>
      </c>
      <c r="F6" s="3">
        <v>27900000</v>
      </c>
    </row>
    <row r="7" spans="1:6">
      <c r="A7" s="3">
        <v>1625719300</v>
      </c>
      <c r="B7" s="3">
        <v>15</v>
      </c>
      <c r="C7" s="3">
        <v>616300</v>
      </c>
      <c r="D7" s="3">
        <v>101300</v>
      </c>
      <c r="E7" s="3">
        <v>9206</v>
      </c>
      <c r="F7" s="3">
        <v>14900000</v>
      </c>
    </row>
    <row r="8" spans="1:6">
      <c r="A8" s="3">
        <v>1625190436</v>
      </c>
      <c r="B8" s="3">
        <v>8</v>
      </c>
      <c r="C8" s="3">
        <v>247500</v>
      </c>
      <c r="D8" s="3">
        <v>80600</v>
      </c>
      <c r="E8" s="3">
        <v>1524</v>
      </c>
      <c r="F8" s="3">
        <v>6100000</v>
      </c>
    </row>
    <row r="9" spans="1:6">
      <c r="A9" s="3">
        <v>1628776725</v>
      </c>
      <c r="B9" s="3">
        <v>8</v>
      </c>
      <c r="C9" s="3">
        <v>6000000</v>
      </c>
      <c r="D9" s="3">
        <v>82100</v>
      </c>
      <c r="E9" s="3">
        <v>38700</v>
      </c>
      <c r="F9" s="3">
        <v>79800000</v>
      </c>
    </row>
    <row r="10" spans="1:6">
      <c r="A10" s="3">
        <v>1622441827</v>
      </c>
      <c r="B10" s="3">
        <v>9</v>
      </c>
      <c r="C10" s="3">
        <v>2600000</v>
      </c>
      <c r="D10" s="3">
        <v>516600</v>
      </c>
      <c r="E10" s="3">
        <v>100100</v>
      </c>
      <c r="F10" s="3">
        <v>31600000</v>
      </c>
    </row>
    <row r="11" spans="1:6">
      <c r="A11" s="3">
        <v>1629528969</v>
      </c>
      <c r="B11" s="3">
        <v>20</v>
      </c>
      <c r="C11" s="3">
        <v>5300000</v>
      </c>
      <c r="D11" s="3">
        <v>158300</v>
      </c>
      <c r="E11" s="3">
        <v>255800</v>
      </c>
      <c r="F11" s="3">
        <v>17000000</v>
      </c>
    </row>
    <row r="12" spans="1:6">
      <c r="A12" s="3">
        <v>1629275138</v>
      </c>
      <c r="B12" s="3">
        <v>12</v>
      </c>
      <c r="C12" s="3">
        <v>5200000</v>
      </c>
      <c r="D12" s="3">
        <v>37100</v>
      </c>
      <c r="E12" s="3">
        <v>87200</v>
      </c>
      <c r="F12" s="3">
        <v>22000000</v>
      </c>
    </row>
    <row r="13" spans="1:6">
      <c r="A13" s="3">
        <v>1629509361</v>
      </c>
      <c r="B13" s="3">
        <v>8</v>
      </c>
      <c r="C13" s="3">
        <v>60300</v>
      </c>
      <c r="D13" s="3">
        <v>7656</v>
      </c>
      <c r="E13" s="3">
        <v>694</v>
      </c>
      <c r="F13" s="3">
        <v>882800</v>
      </c>
    </row>
    <row r="14" spans="1:6">
      <c r="A14" s="3">
        <v>1629073842</v>
      </c>
      <c r="B14" s="3">
        <v>13</v>
      </c>
      <c r="C14" s="3">
        <v>1600000</v>
      </c>
      <c r="D14" s="3">
        <v>44200</v>
      </c>
      <c r="E14" s="3">
        <v>12400</v>
      </c>
      <c r="F14" s="3">
        <v>19800000</v>
      </c>
    </row>
    <row r="15" spans="1:6">
      <c r="A15" s="3">
        <v>1628855007</v>
      </c>
      <c r="B15" s="3">
        <v>8</v>
      </c>
      <c r="C15" s="3">
        <v>2600000</v>
      </c>
      <c r="D15" s="3">
        <v>4745</v>
      </c>
      <c r="E15" s="3">
        <v>10500</v>
      </c>
      <c r="F15" s="3">
        <v>18900000</v>
      </c>
    </row>
    <row r="16" spans="1:6">
      <c r="A16" s="3">
        <v>1629398553</v>
      </c>
      <c r="B16" s="3">
        <v>9</v>
      </c>
      <c r="C16" s="3">
        <v>2100000</v>
      </c>
      <c r="D16" s="3">
        <v>110300</v>
      </c>
      <c r="E16" s="3">
        <v>25000</v>
      </c>
      <c r="F16" s="3">
        <v>11400000</v>
      </c>
    </row>
    <row r="17" spans="1:6">
      <c r="A17" s="3">
        <v>1622451738</v>
      </c>
      <c r="B17" s="3">
        <v>13</v>
      </c>
      <c r="C17" s="3">
        <v>417300</v>
      </c>
      <c r="D17" s="3">
        <v>56600</v>
      </c>
      <c r="E17" s="3">
        <v>6307</v>
      </c>
      <c r="F17" s="3">
        <v>11000000</v>
      </c>
    </row>
    <row r="18" spans="1:6">
      <c r="A18" s="3">
        <v>1628918043</v>
      </c>
      <c r="B18" s="3">
        <v>12</v>
      </c>
      <c r="C18" s="3">
        <v>1200000</v>
      </c>
      <c r="D18" s="3">
        <v>91000</v>
      </c>
      <c r="E18" s="3">
        <v>27200</v>
      </c>
      <c r="F18" s="3">
        <v>13100000</v>
      </c>
    </row>
    <row r="19" spans="1:6">
      <c r="A19" s="3">
        <v>1628558195</v>
      </c>
      <c r="B19" s="3">
        <v>58</v>
      </c>
      <c r="C19" s="3">
        <v>270600</v>
      </c>
      <c r="D19" s="3">
        <v>79000</v>
      </c>
      <c r="E19" s="3">
        <v>1114</v>
      </c>
      <c r="F19" s="3">
        <v>4800000</v>
      </c>
    </row>
    <row r="20" spans="1:6">
      <c r="A20" s="3">
        <v>1628122439</v>
      </c>
      <c r="B20" s="3">
        <v>15</v>
      </c>
      <c r="C20" s="3">
        <v>320400</v>
      </c>
      <c r="D20" s="3">
        <v>870</v>
      </c>
      <c r="E20" s="3">
        <v>2289</v>
      </c>
      <c r="F20" s="3">
        <v>3400000</v>
      </c>
    </row>
    <row r="21" spans="1:6">
      <c r="A21" s="3">
        <v>1624923331</v>
      </c>
      <c r="B21" s="3">
        <v>9</v>
      </c>
      <c r="C21" s="3">
        <v>551600</v>
      </c>
      <c r="D21" s="3">
        <v>227100</v>
      </c>
      <c r="E21" s="3">
        <v>0</v>
      </c>
      <c r="F21" s="3">
        <v>10300000</v>
      </c>
    </row>
    <row r="22" spans="1:6">
      <c r="A22" s="3">
        <v>1629768703</v>
      </c>
      <c r="B22" s="3">
        <v>8</v>
      </c>
      <c r="C22" s="3">
        <v>250500</v>
      </c>
      <c r="D22" s="3">
        <v>4295</v>
      </c>
      <c r="E22" s="3">
        <v>1781</v>
      </c>
      <c r="F22" s="3">
        <v>2800000</v>
      </c>
    </row>
    <row r="23" spans="1:6">
      <c r="A23" s="3">
        <v>1626299043</v>
      </c>
      <c r="B23" s="3">
        <v>15</v>
      </c>
      <c r="C23" s="3">
        <v>66300</v>
      </c>
      <c r="D23" s="3">
        <v>24900</v>
      </c>
      <c r="E23" s="3">
        <v>2219</v>
      </c>
      <c r="F23" s="3">
        <v>3400000</v>
      </c>
    </row>
    <row r="24" spans="1:6">
      <c r="A24" s="3">
        <v>1628591455</v>
      </c>
      <c r="B24" s="3">
        <v>20</v>
      </c>
      <c r="C24" s="3">
        <v>6200000</v>
      </c>
      <c r="D24" s="3">
        <v>70200</v>
      </c>
      <c r="E24" s="3">
        <v>172900</v>
      </c>
      <c r="F24" s="3">
        <v>25200000</v>
      </c>
    </row>
    <row r="25" spans="1:6">
      <c r="A25" s="3">
        <v>1628001769</v>
      </c>
      <c r="B25" s="3">
        <v>8</v>
      </c>
      <c r="C25" s="3">
        <v>70700</v>
      </c>
      <c r="D25" s="3">
        <v>31300</v>
      </c>
      <c r="E25" s="3">
        <v>1474</v>
      </c>
      <c r="F25" s="3">
        <v>2000000</v>
      </c>
    </row>
    <row r="26" spans="1:6">
      <c r="A26" s="3">
        <v>1628036385</v>
      </c>
      <c r="B26" s="3">
        <v>8</v>
      </c>
      <c r="C26" s="3">
        <v>4800000</v>
      </c>
      <c r="D26" s="3">
        <v>451600</v>
      </c>
      <c r="E26" s="3">
        <v>56700</v>
      </c>
      <c r="F26" s="3">
        <v>32200000</v>
      </c>
    </row>
    <row r="27" spans="1:6">
      <c r="A27" s="3">
        <v>1622571180</v>
      </c>
      <c r="B27" s="3">
        <v>9</v>
      </c>
      <c r="C27" s="3">
        <v>1800000</v>
      </c>
      <c r="D27" s="3">
        <v>5469</v>
      </c>
      <c r="E27" s="3">
        <v>6751</v>
      </c>
      <c r="F27" s="3">
        <v>15000000</v>
      </c>
    </row>
    <row r="28" spans="1:6">
      <c r="A28" s="3">
        <v>1628898577</v>
      </c>
      <c r="B28" s="3">
        <v>14</v>
      </c>
      <c r="C28" s="3">
        <v>228000</v>
      </c>
      <c r="D28" s="3">
        <v>9693</v>
      </c>
      <c r="E28" s="3">
        <v>0</v>
      </c>
      <c r="F28" s="3">
        <v>5600000</v>
      </c>
    </row>
    <row r="29" spans="1:6">
      <c r="A29" s="3">
        <v>1628185128</v>
      </c>
      <c r="B29" s="3">
        <v>15</v>
      </c>
      <c r="C29" s="3">
        <v>55900</v>
      </c>
      <c r="D29" s="3">
        <v>15800</v>
      </c>
      <c r="E29" s="3">
        <v>8431</v>
      </c>
      <c r="F29" s="3">
        <v>5500000</v>
      </c>
    </row>
    <row r="30" spans="1:6">
      <c r="A30" s="3">
        <v>1625401726</v>
      </c>
      <c r="B30" s="3">
        <v>38</v>
      </c>
      <c r="C30" s="3">
        <v>1500000</v>
      </c>
      <c r="D30" s="3">
        <v>222600</v>
      </c>
      <c r="E30" s="3">
        <v>30200</v>
      </c>
      <c r="F30" s="3">
        <v>13700000</v>
      </c>
    </row>
    <row r="31" spans="1:6">
      <c r="A31" s="3">
        <v>1629832748</v>
      </c>
      <c r="B31" s="3">
        <v>15</v>
      </c>
      <c r="C31" s="3">
        <v>3438</v>
      </c>
      <c r="D31" s="3">
        <v>484</v>
      </c>
      <c r="E31" s="3">
        <v>489</v>
      </c>
      <c r="F31" s="3">
        <v>342500</v>
      </c>
    </row>
    <row r="32" spans="1:6">
      <c r="A32" s="3">
        <v>1629054467</v>
      </c>
      <c r="B32" s="3">
        <v>12</v>
      </c>
      <c r="C32" s="3">
        <v>2800000</v>
      </c>
      <c r="D32" s="3">
        <v>15600</v>
      </c>
      <c r="E32" s="3">
        <v>23000</v>
      </c>
      <c r="F32" s="3">
        <v>14300000</v>
      </c>
    </row>
    <row r="33" spans="1:6">
      <c r="A33" s="3">
        <v>1625509075</v>
      </c>
      <c r="B33" s="3">
        <v>10</v>
      </c>
      <c r="C33" s="3">
        <v>3300000</v>
      </c>
      <c r="D33" s="3">
        <v>42900</v>
      </c>
      <c r="E33" s="3">
        <v>25200</v>
      </c>
      <c r="F33" s="3">
        <v>44100000</v>
      </c>
    </row>
    <row r="34" spans="1:6">
      <c r="A34" s="3">
        <v>1629290489</v>
      </c>
      <c r="B34" s="3">
        <v>15</v>
      </c>
      <c r="C34" s="3">
        <v>800700</v>
      </c>
      <c r="D34" s="3">
        <v>100700</v>
      </c>
      <c r="E34" s="3">
        <v>23800</v>
      </c>
      <c r="F34" s="3">
        <v>8000000</v>
      </c>
    </row>
    <row r="35" spans="1:6">
      <c r="A35" s="3">
        <v>1622763876</v>
      </c>
      <c r="B35" s="3">
        <v>21</v>
      </c>
      <c r="C35" s="3">
        <v>3600000</v>
      </c>
      <c r="D35" s="3">
        <v>457800</v>
      </c>
      <c r="E35" s="3">
        <v>96600</v>
      </c>
      <c r="F35" s="3">
        <v>25000000</v>
      </c>
    </row>
    <row r="36" spans="1:6">
      <c r="A36" s="3">
        <v>1625561602</v>
      </c>
      <c r="B36" s="3">
        <v>11</v>
      </c>
      <c r="C36" s="3">
        <v>399100</v>
      </c>
      <c r="D36" s="3">
        <v>45200</v>
      </c>
      <c r="E36" s="3">
        <v>4824</v>
      </c>
      <c r="F36" s="3">
        <v>4000000</v>
      </c>
    </row>
    <row r="37" spans="1:6">
      <c r="A37" s="3">
        <v>1625518604</v>
      </c>
      <c r="B37" s="3">
        <v>15</v>
      </c>
      <c r="C37" s="3">
        <v>140700</v>
      </c>
      <c r="D37" s="3">
        <v>27600</v>
      </c>
      <c r="E37" s="3">
        <v>3056</v>
      </c>
      <c r="F37" s="3">
        <v>2200000</v>
      </c>
    </row>
    <row r="38" spans="1:6">
      <c r="A38" s="3">
        <v>1626297183</v>
      </c>
      <c r="B38" s="3">
        <v>47</v>
      </c>
      <c r="C38" s="3">
        <v>8300000</v>
      </c>
      <c r="D38" s="3">
        <v>410900</v>
      </c>
      <c r="E38" s="3">
        <v>55700</v>
      </c>
      <c r="F38" s="3">
        <v>56300000</v>
      </c>
    </row>
    <row r="39" spans="1:6">
      <c r="A39" s="3">
        <v>1627234117</v>
      </c>
      <c r="B39" s="3">
        <v>12</v>
      </c>
      <c r="C39" s="3">
        <v>182500</v>
      </c>
      <c r="D39" s="3">
        <v>865</v>
      </c>
      <c r="E39" s="3">
        <v>1155</v>
      </c>
      <c r="F39" s="3">
        <v>1700000</v>
      </c>
    </row>
    <row r="40" spans="1:6">
      <c r="A40" s="3">
        <v>1629514769</v>
      </c>
      <c r="B40" s="3">
        <v>11</v>
      </c>
      <c r="C40" s="3">
        <v>488800</v>
      </c>
      <c r="D40" s="3">
        <v>9253</v>
      </c>
      <c r="E40" s="3">
        <v>4119</v>
      </c>
      <c r="F40" s="3">
        <v>2400000</v>
      </c>
    </row>
    <row r="41" spans="1:6">
      <c r="A41" s="3">
        <v>1629145344</v>
      </c>
      <c r="B41" s="3">
        <v>9</v>
      </c>
      <c r="C41" s="3">
        <v>288400</v>
      </c>
      <c r="D41" s="3">
        <v>31600</v>
      </c>
      <c r="E41" s="3">
        <v>5609</v>
      </c>
      <c r="F41" s="3">
        <v>3200000</v>
      </c>
    </row>
    <row r="42" spans="1:6">
      <c r="A42" s="3">
        <v>1629217451</v>
      </c>
      <c r="B42" s="3">
        <v>10</v>
      </c>
      <c r="C42" s="3">
        <v>926100</v>
      </c>
      <c r="D42" s="3">
        <v>5052</v>
      </c>
      <c r="E42" s="3">
        <v>9661</v>
      </c>
      <c r="F42" s="3">
        <v>5300000</v>
      </c>
    </row>
    <row r="43" spans="1:6">
      <c r="A43" s="3">
        <v>1627493010</v>
      </c>
      <c r="B43" s="3">
        <v>8</v>
      </c>
      <c r="C43" s="3">
        <v>2200000</v>
      </c>
      <c r="D43" s="3">
        <v>140200</v>
      </c>
      <c r="E43" s="3">
        <v>28100</v>
      </c>
      <c r="F43" s="3">
        <v>13200000</v>
      </c>
    </row>
    <row r="44" spans="1:6">
      <c r="A44" s="3">
        <v>1629330393</v>
      </c>
      <c r="B44" s="3">
        <v>15</v>
      </c>
      <c r="C44" s="3">
        <v>1600000</v>
      </c>
      <c r="D44" s="3">
        <v>229200</v>
      </c>
      <c r="E44" s="3">
        <v>23400</v>
      </c>
      <c r="F44" s="3">
        <v>9300000</v>
      </c>
    </row>
    <row r="45" spans="1:6">
      <c r="A45" s="3">
        <v>1627952361</v>
      </c>
      <c r="B45" s="3">
        <v>12</v>
      </c>
      <c r="C45" s="3">
        <v>3300000</v>
      </c>
      <c r="D45" s="3">
        <v>17100</v>
      </c>
      <c r="E45" s="3">
        <v>38800</v>
      </c>
      <c r="F45" s="3">
        <v>14100000</v>
      </c>
    </row>
    <row r="46" spans="1:6">
      <c r="A46" s="3">
        <v>1628894744</v>
      </c>
      <c r="B46" s="3">
        <v>8</v>
      </c>
      <c r="C46" s="3">
        <v>778100</v>
      </c>
      <c r="D46" s="3">
        <v>118900</v>
      </c>
      <c r="E46" s="3">
        <v>5106</v>
      </c>
      <c r="F46" s="3">
        <v>10100000</v>
      </c>
    </row>
    <row r="47" spans="1:6">
      <c r="A47" s="3">
        <v>1627668630</v>
      </c>
      <c r="B47" s="3">
        <v>10</v>
      </c>
      <c r="C47" s="3">
        <v>314600</v>
      </c>
      <c r="D47" s="3">
        <v>19400</v>
      </c>
      <c r="E47" s="3">
        <v>4375</v>
      </c>
      <c r="F47" s="3">
        <v>3500000</v>
      </c>
    </row>
    <row r="48" spans="1:6">
      <c r="A48" s="3">
        <v>1625508217</v>
      </c>
      <c r="B48" s="3">
        <v>7</v>
      </c>
      <c r="C48" s="3">
        <v>4700000</v>
      </c>
      <c r="D48" s="3">
        <v>45100</v>
      </c>
      <c r="E48" s="3">
        <v>26200</v>
      </c>
      <c r="F48" s="3">
        <v>43200000</v>
      </c>
    </row>
    <row r="49" spans="1:6">
      <c r="A49" s="3">
        <v>1624760708</v>
      </c>
      <c r="B49" s="3">
        <v>7</v>
      </c>
      <c r="C49" s="3">
        <v>12200</v>
      </c>
      <c r="D49" s="3">
        <v>5130</v>
      </c>
      <c r="E49" s="3">
        <v>220</v>
      </c>
      <c r="F49" s="3">
        <v>291300</v>
      </c>
    </row>
    <row r="50" spans="1:6">
      <c r="A50" s="3">
        <v>1628540469</v>
      </c>
      <c r="B50" s="3">
        <v>23</v>
      </c>
      <c r="C50" s="3">
        <v>1800000</v>
      </c>
      <c r="D50" s="3">
        <v>130600</v>
      </c>
      <c r="E50" s="3">
        <v>24000</v>
      </c>
      <c r="F50" s="3">
        <v>10500000</v>
      </c>
    </row>
    <row r="51" spans="1:6">
      <c r="A51" s="3">
        <v>1629403423</v>
      </c>
      <c r="B51" s="3">
        <v>12</v>
      </c>
      <c r="C51" s="3">
        <v>951000</v>
      </c>
      <c r="D51" s="3">
        <v>6113</v>
      </c>
      <c r="E51" s="3">
        <v>3828</v>
      </c>
      <c r="F51" s="3">
        <v>14100000</v>
      </c>
    </row>
    <row r="52" spans="1:6">
      <c r="A52" s="3">
        <v>1626350521</v>
      </c>
      <c r="B52" s="3">
        <v>56</v>
      </c>
      <c r="C52" s="3">
        <v>265100</v>
      </c>
      <c r="D52" s="3">
        <v>72400</v>
      </c>
      <c r="E52" s="3">
        <v>3599</v>
      </c>
      <c r="F52" s="3">
        <v>4200000</v>
      </c>
    </row>
    <row r="53" spans="1:6">
      <c r="A53" s="3">
        <v>1629406277</v>
      </c>
      <c r="B53" s="3">
        <v>10</v>
      </c>
      <c r="C53" s="3">
        <v>186200</v>
      </c>
      <c r="D53" s="3">
        <v>17200</v>
      </c>
      <c r="E53" s="3">
        <v>2161</v>
      </c>
      <c r="F53" s="3">
        <v>1200000</v>
      </c>
    </row>
    <row r="54" spans="1:6">
      <c r="A54" s="3">
        <v>1629501764</v>
      </c>
      <c r="B54" s="3">
        <v>9</v>
      </c>
      <c r="C54" s="3">
        <v>492600</v>
      </c>
      <c r="D54" s="3">
        <v>10000</v>
      </c>
      <c r="E54" s="3">
        <v>5326</v>
      </c>
      <c r="F54" s="3">
        <v>3300000</v>
      </c>
    </row>
    <row r="55" spans="1:6">
      <c r="A55" s="3">
        <v>1624373081</v>
      </c>
      <c r="B55" s="3">
        <v>8</v>
      </c>
      <c r="C55" s="3">
        <v>17100000</v>
      </c>
      <c r="D55" s="3">
        <v>110200</v>
      </c>
      <c r="E55" s="3">
        <v>294300</v>
      </c>
      <c r="F55" s="3">
        <v>162200000</v>
      </c>
    </row>
    <row r="56" spans="1:6">
      <c r="A56" s="3">
        <v>1624313573</v>
      </c>
      <c r="B56" s="3">
        <v>83</v>
      </c>
      <c r="C56" s="3">
        <v>364100</v>
      </c>
      <c r="D56" s="3">
        <v>96600</v>
      </c>
      <c r="E56" s="3">
        <v>12300</v>
      </c>
      <c r="F56" s="3">
        <v>4100000</v>
      </c>
    </row>
    <row r="57" spans="1:6">
      <c r="A57" s="3">
        <v>1628691028</v>
      </c>
      <c r="B57" s="3">
        <v>8</v>
      </c>
      <c r="C57" s="3">
        <v>10300000</v>
      </c>
      <c r="D57" s="3">
        <v>129900</v>
      </c>
      <c r="E57" s="3">
        <v>75600</v>
      </c>
      <c r="F57" s="3">
        <v>90400000</v>
      </c>
    </row>
    <row r="58" spans="1:6">
      <c r="A58" s="3">
        <v>1626199356</v>
      </c>
      <c r="B58" s="3">
        <v>12</v>
      </c>
      <c r="C58" s="3">
        <v>28000000</v>
      </c>
      <c r="D58" s="3">
        <v>2100000</v>
      </c>
      <c r="E58" s="3">
        <v>1500000</v>
      </c>
      <c r="F58" s="3">
        <v>222300000</v>
      </c>
    </row>
    <row r="59" spans="1:6">
      <c r="A59" s="3">
        <v>1628360722</v>
      </c>
      <c r="B59" s="3">
        <v>9</v>
      </c>
      <c r="C59" s="3">
        <v>5400000</v>
      </c>
      <c r="D59" s="3">
        <v>237700</v>
      </c>
      <c r="E59" s="3">
        <v>73500</v>
      </c>
      <c r="F59" s="3">
        <v>33500000</v>
      </c>
    </row>
    <row r="60" spans="1:6">
      <c r="A60" s="3">
        <v>1627408492</v>
      </c>
      <c r="B60" s="3">
        <v>9</v>
      </c>
      <c r="C60" s="3">
        <v>4200000</v>
      </c>
      <c r="D60" s="3">
        <v>16400</v>
      </c>
      <c r="E60" s="3">
        <v>18700</v>
      </c>
      <c r="F60" s="3">
        <v>54300000</v>
      </c>
    </row>
    <row r="61" spans="1:6">
      <c r="A61" s="3">
        <v>1627663817</v>
      </c>
      <c r="B61" s="3">
        <v>8</v>
      </c>
      <c r="C61" s="3">
        <v>310300</v>
      </c>
      <c r="D61" s="3">
        <v>112500</v>
      </c>
      <c r="E61" s="3">
        <v>3955</v>
      </c>
      <c r="F61" s="3">
        <v>5700000</v>
      </c>
    </row>
    <row r="62" spans="1:6">
      <c r="A62" s="3">
        <v>1625398813</v>
      </c>
      <c r="B62" s="3">
        <v>9</v>
      </c>
      <c r="C62" s="3">
        <v>316500</v>
      </c>
      <c r="D62" s="3">
        <v>896</v>
      </c>
      <c r="E62" s="3">
        <v>5038</v>
      </c>
      <c r="F62" s="3">
        <v>3100000</v>
      </c>
    </row>
    <row r="63" spans="1:6">
      <c r="A63" s="3">
        <v>1628470407</v>
      </c>
      <c r="B63" s="3">
        <v>15</v>
      </c>
      <c r="C63" s="3">
        <v>227100</v>
      </c>
      <c r="D63" s="3">
        <v>23200</v>
      </c>
      <c r="E63" s="3">
        <v>9704</v>
      </c>
      <c r="F63" s="3">
        <v>2300000</v>
      </c>
    </row>
    <row r="64" spans="1:6">
      <c r="A64" s="3">
        <v>1629134468</v>
      </c>
      <c r="B64" s="3">
        <v>29</v>
      </c>
      <c r="C64" s="3">
        <v>531700</v>
      </c>
      <c r="D64" s="3">
        <v>73800</v>
      </c>
      <c r="E64" s="3">
        <v>8147</v>
      </c>
      <c r="F64" s="3">
        <v>3700000</v>
      </c>
    </row>
    <row r="65" spans="1:6">
      <c r="A65" s="3">
        <v>1629647980</v>
      </c>
      <c r="B65" s="3">
        <v>25</v>
      </c>
      <c r="C65" s="3">
        <v>12000000</v>
      </c>
      <c r="D65" s="3">
        <v>63400</v>
      </c>
      <c r="E65" s="3">
        <v>118500</v>
      </c>
      <c r="F65" s="3">
        <v>84500000</v>
      </c>
    </row>
    <row r="66" spans="1:6">
      <c r="A66" s="3">
        <v>1623277209</v>
      </c>
      <c r="B66" s="3">
        <v>14</v>
      </c>
      <c r="C66" s="3">
        <v>818300</v>
      </c>
      <c r="D66" s="3">
        <v>64000</v>
      </c>
      <c r="E66" s="3">
        <v>22600</v>
      </c>
      <c r="F66" s="3">
        <v>8100000</v>
      </c>
    </row>
    <row r="67" spans="1:6">
      <c r="A67" s="3">
        <v>1629149050</v>
      </c>
      <c r="B67" s="3">
        <v>12</v>
      </c>
      <c r="C67" s="3">
        <v>5800000</v>
      </c>
      <c r="D67" s="3">
        <v>74900</v>
      </c>
      <c r="E67" s="3">
        <v>83500</v>
      </c>
      <c r="F67" s="3">
        <v>38200000</v>
      </c>
    </row>
    <row r="68" spans="1:6">
      <c r="A68" s="3">
        <v>1623897279</v>
      </c>
      <c r="B68" s="3">
        <v>13</v>
      </c>
      <c r="C68" s="3">
        <v>15200000</v>
      </c>
      <c r="D68" s="3">
        <v>325300</v>
      </c>
      <c r="E68" s="3">
        <v>114800</v>
      </c>
      <c r="F68" s="3">
        <v>106000000</v>
      </c>
    </row>
    <row r="69" spans="1:6">
      <c r="A69" s="3">
        <v>1629487410</v>
      </c>
      <c r="B69" s="3">
        <v>8</v>
      </c>
      <c r="C69" s="3">
        <v>217700</v>
      </c>
      <c r="D69" s="3">
        <v>26200</v>
      </c>
      <c r="E69" s="3">
        <v>6076</v>
      </c>
      <c r="F69" s="3">
        <v>3000000</v>
      </c>
    </row>
    <row r="70" spans="1:6">
      <c r="A70" s="3">
        <v>1628201602</v>
      </c>
      <c r="B70" s="3">
        <v>10</v>
      </c>
      <c r="C70" s="3">
        <v>3000000</v>
      </c>
      <c r="D70" s="3">
        <v>286900</v>
      </c>
      <c r="E70" s="3">
        <v>31200</v>
      </c>
      <c r="F70" s="3">
        <v>26000000</v>
      </c>
    </row>
    <row r="71" spans="1:6">
      <c r="A71" s="3">
        <v>1622556951</v>
      </c>
      <c r="B71" s="3">
        <v>13</v>
      </c>
      <c r="C71" s="3">
        <v>40000</v>
      </c>
      <c r="D71" s="3">
        <v>323</v>
      </c>
      <c r="E71" s="3">
        <v>341</v>
      </c>
      <c r="F71" s="3">
        <v>1000000</v>
      </c>
    </row>
    <row r="72" spans="1:6">
      <c r="A72" s="3">
        <v>1624366990</v>
      </c>
      <c r="B72" s="3">
        <v>13</v>
      </c>
      <c r="C72" s="3">
        <v>547100</v>
      </c>
      <c r="D72" s="3">
        <v>22200</v>
      </c>
      <c r="E72" s="3">
        <v>8800</v>
      </c>
      <c r="F72" s="3">
        <v>3100000</v>
      </c>
    </row>
    <row r="73" spans="1:6">
      <c r="A73" s="3">
        <v>1624493675</v>
      </c>
      <c r="B73" s="3">
        <v>9</v>
      </c>
      <c r="C73" s="3">
        <v>1600000</v>
      </c>
      <c r="D73" s="3">
        <v>18300</v>
      </c>
      <c r="E73" s="3">
        <v>11400</v>
      </c>
      <c r="F73" s="3">
        <v>25200000</v>
      </c>
    </row>
    <row r="74" spans="1:6">
      <c r="A74" s="3">
        <v>1628070942</v>
      </c>
      <c r="B74" s="3">
        <v>11</v>
      </c>
      <c r="C74" s="3">
        <v>95000</v>
      </c>
      <c r="D74" s="3">
        <v>3150</v>
      </c>
      <c r="E74" s="3">
        <v>1134</v>
      </c>
      <c r="F74" s="3">
        <v>1300000</v>
      </c>
    </row>
    <row r="75" spans="1:6">
      <c r="A75" s="3">
        <v>1628529840</v>
      </c>
      <c r="B75" s="3">
        <v>11</v>
      </c>
      <c r="C75" s="3">
        <v>3000000</v>
      </c>
      <c r="D75" s="3">
        <v>247000</v>
      </c>
      <c r="E75" s="3">
        <v>28000</v>
      </c>
      <c r="F75" s="3">
        <v>32600000</v>
      </c>
    </row>
    <row r="76" spans="1:6">
      <c r="A76" s="3">
        <v>1624583889</v>
      </c>
      <c r="B76" s="3">
        <v>14</v>
      </c>
      <c r="C76" s="3">
        <v>4000000</v>
      </c>
      <c r="D76" s="3">
        <v>12300</v>
      </c>
      <c r="E76" s="3">
        <v>18200</v>
      </c>
      <c r="F76" s="3">
        <v>24900000</v>
      </c>
    </row>
    <row r="77" spans="1:6">
      <c r="A77" s="3">
        <v>1629233167</v>
      </c>
      <c r="B77" s="3">
        <v>10</v>
      </c>
      <c r="C77" s="3">
        <v>928700</v>
      </c>
      <c r="D77" s="3">
        <v>4936</v>
      </c>
      <c r="E77" s="3">
        <v>3614</v>
      </c>
      <c r="F77" s="3">
        <v>14400000</v>
      </c>
    </row>
    <row r="78" spans="1:6">
      <c r="A78" s="3">
        <v>1625429382</v>
      </c>
      <c r="B78" s="3">
        <v>7</v>
      </c>
      <c r="C78" s="3">
        <v>2600000</v>
      </c>
      <c r="D78" s="3">
        <v>25700</v>
      </c>
      <c r="E78" s="3">
        <v>20000</v>
      </c>
      <c r="F78" s="3">
        <v>18900000</v>
      </c>
    </row>
    <row r="79" spans="1:6">
      <c r="A79" s="3">
        <v>1629574648</v>
      </c>
      <c r="B79" s="3">
        <v>11</v>
      </c>
      <c r="C79" s="3">
        <v>115500</v>
      </c>
      <c r="D79" s="3">
        <v>249</v>
      </c>
      <c r="E79" s="3">
        <v>1136</v>
      </c>
      <c r="F79" s="3">
        <v>919800</v>
      </c>
    </row>
    <row r="80" spans="1:6">
      <c r="A80" s="3">
        <v>1627706192</v>
      </c>
      <c r="B80" s="3">
        <v>13</v>
      </c>
      <c r="C80" s="3">
        <v>283100</v>
      </c>
      <c r="D80" s="3">
        <v>7464</v>
      </c>
      <c r="E80" s="3">
        <v>6966</v>
      </c>
      <c r="F80" s="3">
        <v>5500000</v>
      </c>
    </row>
    <row r="81" spans="1:6">
      <c r="A81" s="3">
        <v>1628547652</v>
      </c>
      <c r="B81" s="3">
        <v>43</v>
      </c>
      <c r="C81" s="3">
        <v>769700</v>
      </c>
      <c r="D81" s="3">
        <v>3881</v>
      </c>
      <c r="E81" s="3">
        <v>1809</v>
      </c>
      <c r="F81" s="3">
        <v>4800000</v>
      </c>
    </row>
    <row r="82" spans="1:6">
      <c r="A82" s="3">
        <v>1622218564</v>
      </c>
      <c r="B82" s="3">
        <v>8</v>
      </c>
      <c r="C82" s="3">
        <v>2200000</v>
      </c>
      <c r="D82" s="3">
        <v>22000</v>
      </c>
      <c r="E82" s="3">
        <v>9354</v>
      </c>
      <c r="F82" s="3">
        <v>28700000</v>
      </c>
    </row>
    <row r="83" spans="1:6">
      <c r="A83" s="3">
        <v>1623893732</v>
      </c>
      <c r="B83" s="3">
        <v>13</v>
      </c>
      <c r="C83" s="3">
        <v>9900000</v>
      </c>
      <c r="D83" s="3">
        <v>52800</v>
      </c>
      <c r="E83" s="3">
        <v>73400</v>
      </c>
      <c r="F83" s="3">
        <v>50500000</v>
      </c>
    </row>
    <row r="84" spans="1:6">
      <c r="A84" s="3">
        <v>1624728642</v>
      </c>
      <c r="B84" s="3">
        <v>13</v>
      </c>
      <c r="C84" s="3">
        <v>121800</v>
      </c>
      <c r="D84" s="3">
        <v>42300</v>
      </c>
      <c r="E84" s="3">
        <v>1662</v>
      </c>
      <c r="F84" s="3">
        <v>3100000</v>
      </c>
    </row>
    <row r="85" spans="1:6">
      <c r="A85" s="3">
        <v>1622151757</v>
      </c>
      <c r="B85" s="3">
        <v>58</v>
      </c>
      <c r="C85" s="3">
        <v>6100000</v>
      </c>
      <c r="D85" s="3">
        <v>108200</v>
      </c>
      <c r="E85" s="3">
        <v>90200</v>
      </c>
      <c r="F85" s="3">
        <v>200200000</v>
      </c>
    </row>
    <row r="86" spans="1:6">
      <c r="A86" s="3">
        <v>1629233863</v>
      </c>
      <c r="B86" s="3">
        <v>14</v>
      </c>
      <c r="C86" s="3">
        <v>1900000</v>
      </c>
      <c r="D86" s="3">
        <v>68500</v>
      </c>
      <c r="E86" s="3">
        <v>68500</v>
      </c>
      <c r="F86" s="3">
        <v>15200000</v>
      </c>
    </row>
    <row r="87" spans="1:6">
      <c r="A87" s="3">
        <v>1629653942</v>
      </c>
      <c r="B87" s="3">
        <v>7</v>
      </c>
      <c r="C87" s="3">
        <v>42700</v>
      </c>
      <c r="D87" s="3">
        <v>5468</v>
      </c>
      <c r="E87" s="3">
        <v>738</v>
      </c>
      <c r="F87" s="3">
        <v>954700</v>
      </c>
    </row>
    <row r="88" spans="1:6">
      <c r="A88" s="3">
        <v>1626516530</v>
      </c>
      <c r="B88" s="3">
        <v>10</v>
      </c>
      <c r="C88" s="3">
        <v>502900</v>
      </c>
      <c r="D88" s="3">
        <v>1480</v>
      </c>
      <c r="E88" s="3">
        <v>2617</v>
      </c>
      <c r="F88" s="3">
        <v>4800000</v>
      </c>
    </row>
    <row r="89" spans="1:6">
      <c r="A89" s="3">
        <v>1628402623</v>
      </c>
      <c r="B89" s="3">
        <v>8</v>
      </c>
      <c r="C89" s="3">
        <v>60900</v>
      </c>
      <c r="D89" s="3">
        <v>11900</v>
      </c>
      <c r="E89" s="3">
        <v>1205</v>
      </c>
      <c r="F89" s="3">
        <v>1200000</v>
      </c>
    </row>
    <row r="90" spans="1:6">
      <c r="A90" s="3">
        <v>1629235036</v>
      </c>
      <c r="B90" s="3">
        <v>16</v>
      </c>
      <c r="C90" s="3">
        <v>215800</v>
      </c>
      <c r="D90" s="3">
        <v>45800</v>
      </c>
      <c r="E90" s="3">
        <v>5923</v>
      </c>
      <c r="F90" s="3">
        <v>6700000</v>
      </c>
    </row>
    <row r="91" spans="1:6">
      <c r="A91" s="3">
        <v>1629562568</v>
      </c>
      <c r="B91" s="3">
        <v>12</v>
      </c>
      <c r="C91" s="3">
        <v>2400000</v>
      </c>
      <c r="D91" s="3">
        <v>10500</v>
      </c>
      <c r="E91" s="3">
        <v>25800</v>
      </c>
      <c r="F91" s="3">
        <v>35200000</v>
      </c>
    </row>
    <row r="92" spans="1:6">
      <c r="A92" s="3">
        <v>1628996697</v>
      </c>
      <c r="B92" s="3">
        <v>7</v>
      </c>
      <c r="C92" s="3">
        <v>944600</v>
      </c>
      <c r="D92" s="3">
        <v>41600</v>
      </c>
      <c r="E92" s="3">
        <v>6370</v>
      </c>
      <c r="F92" s="3">
        <v>7700000</v>
      </c>
    </row>
    <row r="93" spans="1:6">
      <c r="A93" s="3">
        <v>1626020804</v>
      </c>
      <c r="B93" s="3">
        <v>8</v>
      </c>
      <c r="C93" s="3">
        <v>3900000</v>
      </c>
      <c r="D93" s="3">
        <v>21300</v>
      </c>
      <c r="E93" s="3">
        <v>19400</v>
      </c>
      <c r="F93" s="3">
        <v>32500000</v>
      </c>
    </row>
    <row r="94" spans="1:6">
      <c r="A94" s="3">
        <v>1629275188</v>
      </c>
      <c r="B94" s="3">
        <v>11</v>
      </c>
      <c r="C94" s="3">
        <v>6600000</v>
      </c>
      <c r="D94" s="3">
        <v>49100</v>
      </c>
      <c r="E94" s="3">
        <v>107100</v>
      </c>
      <c r="F94" s="3">
        <v>26700000</v>
      </c>
    </row>
    <row r="95" spans="1:6">
      <c r="A95" s="3">
        <v>1627754196</v>
      </c>
      <c r="B95" s="3">
        <v>8</v>
      </c>
      <c r="C95" s="3">
        <v>342000</v>
      </c>
      <c r="D95" s="3">
        <v>1687</v>
      </c>
      <c r="E95" s="3">
        <v>21500</v>
      </c>
      <c r="F95" s="3">
        <v>2900000</v>
      </c>
    </row>
    <row r="96" spans="1:6">
      <c r="A96" s="3">
        <v>1627140946</v>
      </c>
      <c r="B96" s="3">
        <v>10</v>
      </c>
      <c r="C96" s="3">
        <v>155400</v>
      </c>
      <c r="D96" s="3">
        <v>472</v>
      </c>
      <c r="E96" s="3">
        <v>933</v>
      </c>
      <c r="F96" s="3">
        <v>1600000</v>
      </c>
    </row>
    <row r="97" spans="1:6">
      <c r="A97" s="3">
        <v>1627593180</v>
      </c>
      <c r="B97" s="3">
        <v>11</v>
      </c>
      <c r="C97" s="3">
        <v>976900</v>
      </c>
      <c r="D97" s="3">
        <v>143400</v>
      </c>
      <c r="E97" s="3">
        <v>10400</v>
      </c>
      <c r="F97" s="3">
        <v>29800000</v>
      </c>
    </row>
    <row r="98" spans="1:6">
      <c r="A98" s="3">
        <v>1627002241</v>
      </c>
      <c r="B98" s="3">
        <v>66</v>
      </c>
      <c r="C98" s="3">
        <v>1000000</v>
      </c>
      <c r="D98" s="3">
        <v>36400</v>
      </c>
      <c r="E98" s="3">
        <v>15300</v>
      </c>
      <c r="F98" s="3">
        <v>6200000</v>
      </c>
    </row>
    <row r="99" spans="1:6">
      <c r="A99" s="3">
        <v>1629672506</v>
      </c>
      <c r="B99" s="3">
        <v>11</v>
      </c>
      <c r="C99" s="3">
        <v>147300</v>
      </c>
      <c r="D99" s="3">
        <v>13000</v>
      </c>
      <c r="E99" s="3">
        <v>1335</v>
      </c>
      <c r="F99" s="3">
        <v>2100000</v>
      </c>
    </row>
    <row r="100" spans="1:6">
      <c r="A100" s="3">
        <v>1628625775</v>
      </c>
      <c r="B100" s="3">
        <v>15</v>
      </c>
      <c r="C100" s="3">
        <v>1000000</v>
      </c>
      <c r="D100" s="3">
        <v>137100</v>
      </c>
      <c r="E100" s="3">
        <v>12100</v>
      </c>
      <c r="F100" s="3">
        <v>17100000</v>
      </c>
    </row>
    <row r="101" spans="1:6">
      <c r="A101" s="3">
        <v>1624591396</v>
      </c>
      <c r="B101" s="3">
        <v>11</v>
      </c>
      <c r="C101" s="3">
        <v>475300</v>
      </c>
      <c r="D101" s="3">
        <v>34500</v>
      </c>
      <c r="E101" s="3">
        <v>4790</v>
      </c>
      <c r="F101" s="3">
        <v>2400000</v>
      </c>
    </row>
  </sheetData>
  <pageMargins left="0" right="0" top="0" bottom="0" header="0" footer="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C101"/>
  <sheetViews>
    <sheetView workbookViewId="0">
      <selection activeCell="B1" sqref="B1:B1048576"/>
    </sheetView>
  </sheetViews>
  <sheetFormatPr defaultColWidth="12.5703125" defaultRowHeight="15.75" customHeight="1"/>
  <cols>
    <col min="2" max="2" width="7.42578125" customWidth="1"/>
    <col min="3" max="3" width="13.5703125" customWidth="1"/>
  </cols>
  <sheetData>
    <row r="1" spans="1:3">
      <c r="B1" s="3" t="s">
        <v>152</v>
      </c>
      <c r="C1" s="3" t="s">
        <v>153</v>
      </c>
    </row>
    <row r="2" spans="1:3">
      <c r="A2" s="3">
        <v>0</v>
      </c>
      <c r="B2" s="3" t="b">
        <v>0</v>
      </c>
      <c r="C2" s="3" t="b">
        <v>0</v>
      </c>
    </row>
    <row r="3" spans="1:3">
      <c r="A3" s="3">
        <v>1</v>
      </c>
      <c r="B3" s="3" t="b">
        <v>1</v>
      </c>
      <c r="C3" s="3" t="b">
        <v>0</v>
      </c>
    </row>
    <row r="4" spans="1:3">
      <c r="A4" s="3">
        <v>2</v>
      </c>
      <c r="B4" s="3" t="b">
        <v>0</v>
      </c>
      <c r="C4" s="3" t="b">
        <v>0</v>
      </c>
    </row>
    <row r="5" spans="1:3">
      <c r="A5" s="3">
        <v>3</v>
      </c>
      <c r="B5" s="3" t="b">
        <v>0</v>
      </c>
      <c r="C5" s="3" t="b">
        <v>0</v>
      </c>
    </row>
    <row r="6" spans="1:3">
      <c r="A6" s="3">
        <v>4</v>
      </c>
      <c r="B6" s="3" t="b">
        <v>0</v>
      </c>
      <c r="C6" s="3" t="b">
        <v>0</v>
      </c>
    </row>
    <row r="7" spans="1:3">
      <c r="A7" s="3">
        <v>5</v>
      </c>
      <c r="B7" s="3" t="b">
        <v>0</v>
      </c>
      <c r="C7" s="3" t="b">
        <v>0</v>
      </c>
    </row>
    <row r="8" spans="1:3">
      <c r="A8" s="3">
        <v>6</v>
      </c>
      <c r="B8" s="3" t="b">
        <v>0</v>
      </c>
      <c r="C8" s="3" t="b">
        <v>0</v>
      </c>
    </row>
    <row r="9" spans="1:3">
      <c r="A9" s="3">
        <v>7</v>
      </c>
      <c r="B9" s="3" t="b">
        <v>0</v>
      </c>
      <c r="C9" s="3" t="b">
        <v>0</v>
      </c>
    </row>
    <row r="10" spans="1:3">
      <c r="A10" s="3">
        <v>8</v>
      </c>
      <c r="B10" s="3" t="b">
        <v>0</v>
      </c>
      <c r="C10" s="3" t="b">
        <v>0</v>
      </c>
    </row>
    <row r="11" spans="1:3">
      <c r="A11" s="3">
        <v>9</v>
      </c>
      <c r="B11" s="3" t="b">
        <v>1</v>
      </c>
      <c r="C11" s="3" t="b">
        <v>0</v>
      </c>
    </row>
    <row r="12" spans="1:3">
      <c r="A12" s="3">
        <v>10</v>
      </c>
      <c r="B12" s="3" t="b">
        <v>1</v>
      </c>
      <c r="C12" s="3" t="b">
        <v>0</v>
      </c>
    </row>
    <row r="13" spans="1:3">
      <c r="A13" s="3">
        <v>11</v>
      </c>
      <c r="B13" s="3" t="b">
        <v>1</v>
      </c>
      <c r="C13" s="3" t="b">
        <v>0</v>
      </c>
    </row>
    <row r="14" spans="1:3">
      <c r="A14" s="3">
        <v>12</v>
      </c>
      <c r="B14" s="3" t="b">
        <v>0</v>
      </c>
      <c r="C14" s="3" t="b">
        <v>0</v>
      </c>
    </row>
    <row r="15" spans="1:3">
      <c r="A15" s="3">
        <v>13</v>
      </c>
      <c r="B15" s="3" t="b">
        <v>0</v>
      </c>
      <c r="C15" s="3" t="b">
        <v>0</v>
      </c>
    </row>
    <row r="16" spans="1:3">
      <c r="A16" s="3">
        <v>14</v>
      </c>
      <c r="B16" s="3" t="b">
        <v>0</v>
      </c>
      <c r="C16" s="3" t="b">
        <v>0</v>
      </c>
    </row>
    <row r="17" spans="1:3">
      <c r="A17" s="3">
        <v>15</v>
      </c>
      <c r="B17" s="3" t="b">
        <v>0</v>
      </c>
      <c r="C17" s="3" t="b">
        <v>0</v>
      </c>
    </row>
    <row r="18" spans="1:3">
      <c r="A18" s="3">
        <v>16</v>
      </c>
      <c r="B18" s="3" t="b">
        <v>0</v>
      </c>
      <c r="C18" s="3" t="b">
        <v>0</v>
      </c>
    </row>
    <row r="19" spans="1:3">
      <c r="A19" s="3">
        <v>17</v>
      </c>
      <c r="B19" s="3" t="b">
        <v>0</v>
      </c>
      <c r="C19" s="3" t="b">
        <v>0</v>
      </c>
    </row>
    <row r="20" spans="1:3">
      <c r="A20" s="3">
        <v>18</v>
      </c>
      <c r="B20" s="3" t="b">
        <v>0</v>
      </c>
      <c r="C20" s="3" t="b">
        <v>0</v>
      </c>
    </row>
    <row r="21" spans="1:3">
      <c r="A21" s="3">
        <v>19</v>
      </c>
      <c r="B21" s="3" t="b">
        <v>0</v>
      </c>
      <c r="C21" s="3" t="b">
        <v>0</v>
      </c>
    </row>
    <row r="22" spans="1:3">
      <c r="A22" s="3">
        <v>20</v>
      </c>
      <c r="B22" s="3" t="b">
        <v>0</v>
      </c>
      <c r="C22" s="3" t="b">
        <v>0</v>
      </c>
    </row>
    <row r="23" spans="1:3">
      <c r="A23" s="3">
        <v>21</v>
      </c>
      <c r="B23" s="3" t="b">
        <v>0</v>
      </c>
      <c r="C23" s="3" t="b">
        <v>0</v>
      </c>
    </row>
    <row r="24" spans="1:3">
      <c r="A24" s="3">
        <v>22</v>
      </c>
      <c r="B24" s="3" t="b">
        <v>0</v>
      </c>
      <c r="C24" s="3" t="b">
        <v>0</v>
      </c>
    </row>
    <row r="25" spans="1:3">
      <c r="A25" s="3">
        <v>23</v>
      </c>
      <c r="B25" s="3" t="b">
        <v>0</v>
      </c>
      <c r="C25" s="3" t="b">
        <v>0</v>
      </c>
    </row>
    <row r="26" spans="1:3">
      <c r="A26" s="3">
        <v>24</v>
      </c>
      <c r="B26" s="3" t="b">
        <v>0</v>
      </c>
      <c r="C26" s="3" t="b">
        <v>0</v>
      </c>
    </row>
    <row r="27" spans="1:3">
      <c r="A27" s="3">
        <v>25</v>
      </c>
      <c r="B27" s="3" t="b">
        <v>0</v>
      </c>
      <c r="C27" s="3" t="b">
        <v>0</v>
      </c>
    </row>
    <row r="28" spans="1:3">
      <c r="A28" s="3">
        <v>26</v>
      </c>
      <c r="B28" s="3" t="b">
        <v>0</v>
      </c>
      <c r="C28" s="3" t="b">
        <v>0</v>
      </c>
    </row>
    <row r="29" spans="1:3">
      <c r="A29" s="3">
        <v>27</v>
      </c>
      <c r="B29" s="3" t="b">
        <v>1</v>
      </c>
      <c r="C29" s="3" t="b">
        <v>0</v>
      </c>
    </row>
    <row r="30" spans="1:3">
      <c r="A30" s="3">
        <v>28</v>
      </c>
      <c r="B30" s="3" t="b">
        <v>1</v>
      </c>
      <c r="C30" s="3" t="b">
        <v>0</v>
      </c>
    </row>
    <row r="31" spans="1:3">
      <c r="A31" s="3">
        <v>29</v>
      </c>
      <c r="B31" s="3" t="b">
        <v>0</v>
      </c>
      <c r="C31" s="3" t="b">
        <v>0</v>
      </c>
    </row>
    <row r="32" spans="1:3">
      <c r="A32" s="3">
        <v>30</v>
      </c>
      <c r="B32" s="3" t="b">
        <v>1</v>
      </c>
      <c r="C32" s="3" t="b">
        <v>0</v>
      </c>
    </row>
    <row r="33" spans="1:3">
      <c r="A33" s="3">
        <v>31</v>
      </c>
      <c r="B33" s="3" t="b">
        <v>0</v>
      </c>
      <c r="C33" s="3" t="b">
        <v>0</v>
      </c>
    </row>
    <row r="34" spans="1:3">
      <c r="A34" s="3">
        <v>32</v>
      </c>
      <c r="B34" s="3" t="b">
        <v>0</v>
      </c>
      <c r="C34" s="3" t="b">
        <v>0</v>
      </c>
    </row>
    <row r="35" spans="1:3">
      <c r="A35" s="3">
        <v>33</v>
      </c>
      <c r="B35" s="3" t="b">
        <v>0</v>
      </c>
      <c r="C35" s="3" t="b">
        <v>0</v>
      </c>
    </row>
    <row r="36" spans="1:3">
      <c r="A36" s="3">
        <v>34</v>
      </c>
      <c r="B36" s="3" t="b">
        <v>0</v>
      </c>
      <c r="C36" s="3" t="b">
        <v>0</v>
      </c>
    </row>
    <row r="37" spans="1:3">
      <c r="A37" s="3">
        <v>35</v>
      </c>
      <c r="B37" s="3" t="b">
        <v>0</v>
      </c>
      <c r="C37" s="3" t="b">
        <v>0</v>
      </c>
    </row>
    <row r="38" spans="1:3">
      <c r="A38" s="3">
        <v>36</v>
      </c>
      <c r="B38" s="3" t="b">
        <v>0</v>
      </c>
      <c r="C38" s="3" t="b">
        <v>0</v>
      </c>
    </row>
    <row r="39" spans="1:3">
      <c r="A39" s="3">
        <v>37</v>
      </c>
      <c r="B39" s="3" t="b">
        <v>0</v>
      </c>
      <c r="C39" s="3" t="b">
        <v>0</v>
      </c>
    </row>
    <row r="40" spans="1:3">
      <c r="A40" s="3">
        <v>38</v>
      </c>
      <c r="B40" s="3" t="b">
        <v>0</v>
      </c>
      <c r="C40" s="3" t="b">
        <v>0</v>
      </c>
    </row>
    <row r="41" spans="1:3">
      <c r="A41" s="3">
        <v>39</v>
      </c>
      <c r="B41" s="3" t="b">
        <v>0</v>
      </c>
      <c r="C41" s="3" t="b">
        <v>0</v>
      </c>
    </row>
    <row r="42" spans="1:3">
      <c r="A42" s="3">
        <v>40</v>
      </c>
      <c r="B42" s="3" t="b">
        <v>0</v>
      </c>
      <c r="C42" s="3" t="b">
        <v>0</v>
      </c>
    </row>
    <row r="43" spans="1:3">
      <c r="A43" s="3">
        <v>41</v>
      </c>
      <c r="B43" s="3" t="b">
        <v>0</v>
      </c>
      <c r="C43" s="3" t="b">
        <v>0</v>
      </c>
    </row>
    <row r="44" spans="1:3">
      <c r="A44" s="3">
        <v>42</v>
      </c>
      <c r="B44" s="3" t="b">
        <v>0</v>
      </c>
      <c r="C44" s="3" t="b">
        <v>0</v>
      </c>
    </row>
    <row r="45" spans="1:3">
      <c r="A45" s="3">
        <v>43</v>
      </c>
      <c r="B45" s="3" t="b">
        <v>0</v>
      </c>
      <c r="C45" s="3" t="b">
        <v>0</v>
      </c>
    </row>
    <row r="46" spans="1:3">
      <c r="A46" s="3">
        <v>44</v>
      </c>
      <c r="B46" s="3" t="b">
        <v>1</v>
      </c>
      <c r="C46" s="3" t="b">
        <v>0</v>
      </c>
    </row>
    <row r="47" spans="1:3">
      <c r="A47" s="3">
        <v>45</v>
      </c>
      <c r="B47" s="3" t="b">
        <v>0</v>
      </c>
      <c r="C47" s="3" t="b">
        <v>0</v>
      </c>
    </row>
    <row r="48" spans="1:3">
      <c r="A48" s="3">
        <v>46</v>
      </c>
      <c r="B48" s="3" t="b">
        <v>0</v>
      </c>
      <c r="C48" s="3" t="b">
        <v>0</v>
      </c>
    </row>
    <row r="49" spans="1:3">
      <c r="A49" s="3">
        <v>47</v>
      </c>
      <c r="B49" s="3" t="b">
        <v>0</v>
      </c>
      <c r="C49" s="3" t="b">
        <v>0</v>
      </c>
    </row>
    <row r="50" spans="1:3">
      <c r="A50" s="3">
        <v>48</v>
      </c>
      <c r="B50" s="3" t="b">
        <v>0</v>
      </c>
      <c r="C50" s="3" t="b">
        <v>0</v>
      </c>
    </row>
    <row r="51" spans="1:3">
      <c r="A51" s="3">
        <v>49</v>
      </c>
      <c r="B51" s="3" t="b">
        <v>0</v>
      </c>
      <c r="C51" s="3" t="b">
        <v>0</v>
      </c>
    </row>
    <row r="52" spans="1:3">
      <c r="A52" s="3">
        <v>50</v>
      </c>
      <c r="B52" s="3" t="b">
        <v>0</v>
      </c>
      <c r="C52" s="3" t="b">
        <v>0</v>
      </c>
    </row>
    <row r="53" spans="1:3">
      <c r="A53" s="3">
        <v>51</v>
      </c>
      <c r="B53" s="3" t="b">
        <v>0</v>
      </c>
      <c r="C53" s="3" t="b">
        <v>0</v>
      </c>
    </row>
    <row r="54" spans="1:3">
      <c r="A54" s="3">
        <v>52</v>
      </c>
      <c r="B54" s="3" t="b">
        <v>1</v>
      </c>
      <c r="C54" s="3" t="b">
        <v>0</v>
      </c>
    </row>
    <row r="55" spans="1:3">
      <c r="A55" s="3">
        <v>53</v>
      </c>
      <c r="B55" s="3" t="b">
        <v>0</v>
      </c>
      <c r="C55" s="3" t="b">
        <v>0</v>
      </c>
    </row>
    <row r="56" spans="1:3">
      <c r="A56" s="3">
        <v>54</v>
      </c>
      <c r="B56" s="3" t="b">
        <v>0</v>
      </c>
      <c r="C56" s="3" t="b">
        <v>0</v>
      </c>
    </row>
    <row r="57" spans="1:3">
      <c r="A57" s="3">
        <v>55</v>
      </c>
      <c r="B57" s="3" t="b">
        <v>0</v>
      </c>
      <c r="C57" s="3" t="b">
        <v>0</v>
      </c>
    </row>
    <row r="58" spans="1:3">
      <c r="A58" s="3">
        <v>56</v>
      </c>
      <c r="B58" s="3" t="b">
        <v>0</v>
      </c>
      <c r="C58" s="3" t="b">
        <v>0</v>
      </c>
    </row>
    <row r="59" spans="1:3">
      <c r="A59" s="3">
        <v>57</v>
      </c>
      <c r="B59" s="3" t="b">
        <v>0</v>
      </c>
      <c r="C59" s="3" t="b">
        <v>0</v>
      </c>
    </row>
    <row r="60" spans="1:3">
      <c r="A60" s="3">
        <v>58</v>
      </c>
      <c r="B60" s="3" t="b">
        <v>0</v>
      </c>
      <c r="C60" s="3" t="b">
        <v>0</v>
      </c>
    </row>
    <row r="61" spans="1:3">
      <c r="A61" s="3">
        <v>59</v>
      </c>
      <c r="B61" s="3" t="b">
        <v>1</v>
      </c>
      <c r="C61" s="3" t="b">
        <v>0</v>
      </c>
    </row>
    <row r="62" spans="1:3">
      <c r="A62" s="3">
        <v>60</v>
      </c>
      <c r="B62" s="3" t="b">
        <v>0</v>
      </c>
      <c r="C62" s="3" t="b">
        <v>0</v>
      </c>
    </row>
    <row r="63" spans="1:3">
      <c r="A63" s="3">
        <v>61</v>
      </c>
      <c r="B63" s="3" t="b">
        <v>0</v>
      </c>
      <c r="C63" s="3" t="b">
        <v>0</v>
      </c>
    </row>
    <row r="64" spans="1:3">
      <c r="A64" s="3">
        <v>62</v>
      </c>
      <c r="B64" s="3" t="b">
        <v>1</v>
      </c>
      <c r="C64" s="3" t="b">
        <v>0</v>
      </c>
    </row>
    <row r="65" spans="1:3">
      <c r="A65" s="3">
        <v>63</v>
      </c>
      <c r="B65" s="3" t="b">
        <v>1</v>
      </c>
      <c r="C65" s="3" t="b">
        <v>0</v>
      </c>
    </row>
    <row r="66" spans="1:3">
      <c r="A66" s="3">
        <v>64</v>
      </c>
      <c r="B66" s="3" t="b">
        <v>0</v>
      </c>
      <c r="C66" s="3" t="b">
        <v>0</v>
      </c>
    </row>
    <row r="67" spans="1:3">
      <c r="A67" s="3">
        <v>65</v>
      </c>
      <c r="B67" s="3" t="b">
        <v>0</v>
      </c>
      <c r="C67" s="3" t="b">
        <v>0</v>
      </c>
    </row>
    <row r="68" spans="1:3">
      <c r="A68" s="3">
        <v>66</v>
      </c>
      <c r="B68" s="3" t="b">
        <v>0</v>
      </c>
      <c r="C68" s="3" t="b">
        <v>0</v>
      </c>
    </row>
    <row r="69" spans="1:3">
      <c r="A69" s="3">
        <v>67</v>
      </c>
      <c r="B69" s="3" t="b">
        <v>0</v>
      </c>
      <c r="C69" s="3" t="b">
        <v>0</v>
      </c>
    </row>
    <row r="70" spans="1:3">
      <c r="A70" s="3">
        <v>68</v>
      </c>
      <c r="B70" s="3" t="b">
        <v>1</v>
      </c>
      <c r="C70" s="3" t="b">
        <v>0</v>
      </c>
    </row>
    <row r="71" spans="1:3">
      <c r="A71" s="3">
        <v>69</v>
      </c>
      <c r="B71" s="3" t="b">
        <v>0</v>
      </c>
      <c r="C71" s="3" t="b">
        <v>0</v>
      </c>
    </row>
    <row r="72" spans="1:3">
      <c r="A72" s="3">
        <v>70</v>
      </c>
      <c r="B72" s="3" t="b">
        <v>0</v>
      </c>
      <c r="C72" s="3" t="b">
        <v>0</v>
      </c>
    </row>
    <row r="73" spans="1:3">
      <c r="A73" s="3">
        <v>71</v>
      </c>
      <c r="B73" s="3" t="b">
        <v>1</v>
      </c>
      <c r="C73" s="3" t="b">
        <v>0</v>
      </c>
    </row>
    <row r="74" spans="1:3">
      <c r="A74" s="3">
        <v>72</v>
      </c>
      <c r="B74" s="3" t="b">
        <v>0</v>
      </c>
      <c r="C74" s="3" t="b">
        <v>0</v>
      </c>
    </row>
    <row r="75" spans="1:3">
      <c r="A75" s="3">
        <v>73</v>
      </c>
      <c r="B75" s="3" t="b">
        <v>1</v>
      </c>
      <c r="C75" s="3" t="b">
        <v>0</v>
      </c>
    </row>
    <row r="76" spans="1:3">
      <c r="A76" s="3">
        <v>74</v>
      </c>
      <c r="B76" s="3" t="b">
        <v>1</v>
      </c>
      <c r="C76" s="3" t="b">
        <v>0</v>
      </c>
    </row>
    <row r="77" spans="1:3">
      <c r="A77" s="3">
        <v>75</v>
      </c>
      <c r="B77" s="3" t="b">
        <v>0</v>
      </c>
      <c r="C77" s="3" t="b">
        <v>0</v>
      </c>
    </row>
    <row r="78" spans="1:3">
      <c r="A78" s="3">
        <v>76</v>
      </c>
      <c r="B78" s="3" t="b">
        <v>0</v>
      </c>
      <c r="C78" s="3" t="b">
        <v>0</v>
      </c>
    </row>
    <row r="79" spans="1:3">
      <c r="A79" s="3">
        <v>77</v>
      </c>
      <c r="B79" s="3" t="b">
        <v>0</v>
      </c>
      <c r="C79" s="3" t="b">
        <v>0</v>
      </c>
    </row>
    <row r="80" spans="1:3">
      <c r="A80" s="3">
        <v>78</v>
      </c>
      <c r="B80" s="3" t="b">
        <v>0</v>
      </c>
      <c r="C80" s="3" t="b">
        <v>0</v>
      </c>
    </row>
    <row r="81" spans="1:3">
      <c r="A81" s="3">
        <v>79</v>
      </c>
      <c r="B81" s="3" t="b">
        <v>0</v>
      </c>
      <c r="C81" s="3" t="b">
        <v>0</v>
      </c>
    </row>
    <row r="82" spans="1:3">
      <c r="A82" s="3">
        <v>80</v>
      </c>
      <c r="B82" s="3" t="b">
        <v>1</v>
      </c>
      <c r="C82" s="3" t="b">
        <v>0</v>
      </c>
    </row>
    <row r="83" spans="1:3">
      <c r="A83" s="3">
        <v>81</v>
      </c>
      <c r="B83" s="3" t="b">
        <v>1</v>
      </c>
      <c r="C83" s="3" t="b">
        <v>0</v>
      </c>
    </row>
    <row r="84" spans="1:3">
      <c r="A84" s="3">
        <v>82</v>
      </c>
      <c r="B84" s="3" t="b">
        <v>1</v>
      </c>
      <c r="C84" s="3" t="b">
        <v>0</v>
      </c>
    </row>
    <row r="85" spans="1:3">
      <c r="A85" s="3">
        <v>83</v>
      </c>
      <c r="B85" s="3" t="b">
        <v>1</v>
      </c>
      <c r="C85" s="3" t="b">
        <v>0</v>
      </c>
    </row>
    <row r="86" spans="1:3">
      <c r="A86" s="3">
        <v>84</v>
      </c>
      <c r="B86" s="3" t="b">
        <v>0</v>
      </c>
      <c r="C86" s="3" t="b">
        <v>0</v>
      </c>
    </row>
    <row r="87" spans="1:3">
      <c r="A87" s="3">
        <v>85</v>
      </c>
      <c r="B87" s="3" t="b">
        <v>0</v>
      </c>
      <c r="C87" s="3" t="b">
        <v>0</v>
      </c>
    </row>
    <row r="88" spans="1:3">
      <c r="A88" s="3">
        <v>86</v>
      </c>
      <c r="B88" s="3" t="b">
        <v>0</v>
      </c>
      <c r="C88" s="3" t="b">
        <v>0</v>
      </c>
    </row>
    <row r="89" spans="1:3">
      <c r="A89" s="3">
        <v>87</v>
      </c>
      <c r="B89" s="3" t="b">
        <v>0</v>
      </c>
      <c r="C89" s="3" t="b">
        <v>0</v>
      </c>
    </row>
    <row r="90" spans="1:3">
      <c r="A90" s="3">
        <v>88</v>
      </c>
      <c r="B90" s="3" t="b">
        <v>1</v>
      </c>
      <c r="C90" s="3" t="b">
        <v>0</v>
      </c>
    </row>
    <row r="91" spans="1:3">
      <c r="A91" s="3">
        <v>89</v>
      </c>
      <c r="B91" s="3" t="b">
        <v>0</v>
      </c>
      <c r="C91" s="3" t="b">
        <v>0</v>
      </c>
    </row>
    <row r="92" spans="1:3">
      <c r="A92" s="3">
        <v>90</v>
      </c>
      <c r="B92" s="3" t="b">
        <v>0</v>
      </c>
      <c r="C92" s="3" t="b">
        <v>0</v>
      </c>
    </row>
    <row r="93" spans="1:3">
      <c r="A93" s="3">
        <v>91</v>
      </c>
      <c r="B93" s="3" t="b">
        <v>0</v>
      </c>
      <c r="C93" s="3" t="b">
        <v>0</v>
      </c>
    </row>
    <row r="94" spans="1:3">
      <c r="A94" s="3">
        <v>92</v>
      </c>
      <c r="B94" s="3" t="b">
        <v>0</v>
      </c>
      <c r="C94" s="3" t="b">
        <v>0</v>
      </c>
    </row>
    <row r="95" spans="1:3">
      <c r="A95" s="3">
        <v>93</v>
      </c>
      <c r="B95" s="3" t="b">
        <v>1</v>
      </c>
      <c r="C95" s="3" t="b">
        <v>0</v>
      </c>
    </row>
    <row r="96" spans="1:3">
      <c r="A96" s="3">
        <v>94</v>
      </c>
      <c r="B96" s="3" t="b">
        <v>0</v>
      </c>
      <c r="C96" s="3" t="b">
        <v>0</v>
      </c>
    </row>
    <row r="97" spans="1:3">
      <c r="A97" s="3">
        <v>95</v>
      </c>
      <c r="B97" s="3" t="b">
        <v>1</v>
      </c>
      <c r="C97" s="3" t="b">
        <v>0</v>
      </c>
    </row>
    <row r="98" spans="1:3">
      <c r="A98" s="3">
        <v>96</v>
      </c>
      <c r="B98" s="3" t="b">
        <v>0</v>
      </c>
      <c r="C98" s="3" t="b">
        <v>0</v>
      </c>
    </row>
    <row r="99" spans="1:3">
      <c r="A99" s="3">
        <v>97</v>
      </c>
      <c r="B99" s="3" t="b">
        <v>1</v>
      </c>
      <c r="C99" s="3" t="b">
        <v>0</v>
      </c>
    </row>
    <row r="100" spans="1:3">
      <c r="A100" s="3">
        <v>98</v>
      </c>
      <c r="B100" s="3" t="b">
        <v>0</v>
      </c>
      <c r="C100" s="3" t="b">
        <v>0</v>
      </c>
    </row>
    <row r="101" spans="1:3">
      <c r="A101" s="3">
        <v>99</v>
      </c>
      <c r="B101" s="3" t="b">
        <v>0</v>
      </c>
      <c r="C101" s="3" t="b">
        <v>0</v>
      </c>
    </row>
  </sheetData>
  <pageMargins left="0" right="0" top="0" bottom="0" header="0" footer="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G101"/>
  <sheetViews>
    <sheetView workbookViewId="0">
      <selection activeCell="D14" sqref="D14"/>
    </sheetView>
  </sheetViews>
  <sheetFormatPr defaultColWidth="12.5703125" defaultRowHeight="15.75" customHeight="1"/>
  <cols>
    <col min="3" max="3" width="20.7109375" customWidth="1"/>
    <col min="4" max="4" width="9.140625"/>
    <col min="5" max="5" width="17.140625" customWidth="1"/>
    <col min="6" max="6" width="15.42578125" customWidth="1"/>
    <col min="7" max="7" width="15.140625" bestFit="1" customWidth="1"/>
  </cols>
  <sheetData>
    <row r="1" spans="1:7" ht="12.75">
      <c r="A1" s="3" t="s">
        <v>154</v>
      </c>
      <c r="B1" s="3" t="s">
        <v>155</v>
      </c>
      <c r="C1" s="3" t="s">
        <v>156</v>
      </c>
      <c r="D1" s="3" t="s">
        <v>157</v>
      </c>
      <c r="E1" s="3" t="s">
        <v>158</v>
      </c>
      <c r="F1" s="3" t="s">
        <v>159</v>
      </c>
      <c r="G1" s="3" t="s">
        <v>160</v>
      </c>
    </row>
    <row r="2" spans="1:7" ht="12.75">
      <c r="A2" s="3" t="b">
        <v>0</v>
      </c>
      <c r="B2" s="3">
        <v>13</v>
      </c>
      <c r="C2" s="3">
        <v>387</v>
      </c>
      <c r="D2" s="3">
        <v>35600000</v>
      </c>
      <c r="E2" s="3">
        <v>2700000</v>
      </c>
      <c r="F2" s="3">
        <v>475900</v>
      </c>
      <c r="G2" s="3">
        <v>280900000</v>
      </c>
    </row>
    <row r="3" spans="1:7" ht="12.75">
      <c r="A3" s="3" t="b">
        <v>0</v>
      </c>
      <c r="B3" s="3">
        <v>7</v>
      </c>
      <c r="C3" s="3">
        <v>60</v>
      </c>
      <c r="D3" s="3">
        <v>18800000</v>
      </c>
      <c r="E3" s="3">
        <v>1200000</v>
      </c>
      <c r="F3" s="3">
        <v>236500</v>
      </c>
      <c r="G3" s="3">
        <v>197700000</v>
      </c>
    </row>
    <row r="4" spans="1:7" ht="12.75">
      <c r="A4" s="3" t="b">
        <v>1</v>
      </c>
      <c r="B4" s="3">
        <v>14</v>
      </c>
      <c r="C4" s="3">
        <v>69</v>
      </c>
      <c r="D4" s="3">
        <v>18500000</v>
      </c>
      <c r="E4" s="3">
        <v>421400</v>
      </c>
      <c r="F4" s="3">
        <v>222000</v>
      </c>
      <c r="G4" s="3">
        <v>144300000</v>
      </c>
    </row>
    <row r="5" spans="1:7" ht="12.75">
      <c r="A5" s="3" t="b">
        <v>0</v>
      </c>
      <c r="B5" s="3">
        <v>10</v>
      </c>
      <c r="C5" s="3">
        <v>55</v>
      </c>
      <c r="D5" s="3">
        <v>18400000</v>
      </c>
      <c r="E5" s="3">
        <v>383600</v>
      </c>
      <c r="F5" s="3">
        <v>157000</v>
      </c>
      <c r="G5" s="3">
        <v>98500000</v>
      </c>
    </row>
    <row r="6" spans="1:7" ht="12.75">
      <c r="A6" s="3" t="b">
        <v>1</v>
      </c>
      <c r="B6" s="3">
        <v>10</v>
      </c>
      <c r="C6" s="3">
        <v>185</v>
      </c>
      <c r="D6" s="3">
        <v>16000000</v>
      </c>
      <c r="E6" s="3">
        <v>152600</v>
      </c>
      <c r="F6" s="3">
        <v>163800</v>
      </c>
      <c r="G6" s="3">
        <v>141800000</v>
      </c>
    </row>
    <row r="7" spans="1:7" ht="12.75">
      <c r="A7" s="3" t="b">
        <v>0</v>
      </c>
      <c r="B7" s="3">
        <v>11</v>
      </c>
      <c r="C7" s="3">
        <v>108</v>
      </c>
      <c r="D7" s="3">
        <v>15000000</v>
      </c>
      <c r="E7" s="3">
        <v>197300</v>
      </c>
      <c r="F7" s="3">
        <v>164900</v>
      </c>
      <c r="G7" s="3">
        <v>73600000</v>
      </c>
    </row>
    <row r="8" spans="1:7" ht="12.75">
      <c r="A8" s="3" t="b">
        <v>0</v>
      </c>
      <c r="B8" s="3">
        <v>12</v>
      </c>
      <c r="C8" s="3">
        <v>0</v>
      </c>
      <c r="D8" s="3">
        <v>14100000</v>
      </c>
      <c r="E8" s="3">
        <v>128700</v>
      </c>
      <c r="F8" s="3">
        <v>49200</v>
      </c>
      <c r="G8" s="3">
        <v>110500000</v>
      </c>
    </row>
    <row r="9" spans="1:7" ht="12.75">
      <c r="A9" s="3" t="b">
        <v>0</v>
      </c>
      <c r="B9" s="3">
        <v>7</v>
      </c>
      <c r="C9" s="3">
        <v>60</v>
      </c>
      <c r="D9" s="3">
        <v>14100000</v>
      </c>
      <c r="E9" s="3">
        <v>601600</v>
      </c>
      <c r="F9" s="3">
        <v>180200</v>
      </c>
      <c r="G9" s="3">
        <v>112400000</v>
      </c>
    </row>
    <row r="10" spans="1:7" ht="12.75">
      <c r="A10" s="3" t="b">
        <v>0</v>
      </c>
      <c r="B10" s="3">
        <v>6</v>
      </c>
      <c r="C10" s="3">
        <v>77</v>
      </c>
      <c r="D10" s="3">
        <v>14000000</v>
      </c>
      <c r="E10" s="3">
        <v>1300000</v>
      </c>
      <c r="F10" s="3">
        <v>190300</v>
      </c>
      <c r="G10" s="3">
        <v>108100000</v>
      </c>
    </row>
    <row r="11" spans="1:7" ht="12.75">
      <c r="A11" s="3" t="b">
        <v>1</v>
      </c>
      <c r="B11" s="3">
        <v>18</v>
      </c>
      <c r="C11" s="3">
        <v>185</v>
      </c>
      <c r="D11" s="3">
        <v>13800000</v>
      </c>
      <c r="E11" s="3">
        <v>60100</v>
      </c>
      <c r="F11" s="3">
        <v>76100</v>
      </c>
      <c r="G11" s="3">
        <v>154900000</v>
      </c>
    </row>
    <row r="12" spans="1:7" ht="12.75">
      <c r="A12" s="3" t="b">
        <v>0</v>
      </c>
      <c r="B12" s="3">
        <v>10</v>
      </c>
      <c r="C12" s="3">
        <v>3380</v>
      </c>
      <c r="D12" s="3">
        <v>12500000</v>
      </c>
      <c r="E12" s="3">
        <v>1000000</v>
      </c>
      <c r="F12" s="3">
        <v>364600</v>
      </c>
      <c r="G12" s="3">
        <v>59400000</v>
      </c>
    </row>
    <row r="13" spans="1:7" ht="12.75">
      <c r="A13" s="3" t="b">
        <v>1</v>
      </c>
      <c r="B13" s="3">
        <v>18</v>
      </c>
      <c r="C13" s="3">
        <v>69</v>
      </c>
      <c r="D13" s="3">
        <v>12000000</v>
      </c>
      <c r="E13" s="3">
        <v>701300</v>
      </c>
      <c r="F13" s="3">
        <v>60100</v>
      </c>
      <c r="G13" s="3">
        <v>126600000</v>
      </c>
    </row>
    <row r="14" spans="1:7" ht="12.75">
      <c r="A14" s="3" t="b">
        <v>0</v>
      </c>
      <c r="B14" s="3">
        <v>57</v>
      </c>
      <c r="C14" s="3">
        <v>221</v>
      </c>
      <c r="D14" s="3">
        <v>11900000</v>
      </c>
      <c r="E14" s="3">
        <v>203800</v>
      </c>
      <c r="F14" s="3">
        <v>89600</v>
      </c>
      <c r="G14" s="3">
        <v>62400000</v>
      </c>
    </row>
    <row r="15" spans="1:7" ht="12.75">
      <c r="A15" s="3" t="b">
        <v>0</v>
      </c>
      <c r="B15" s="3">
        <v>11</v>
      </c>
      <c r="C15" s="3">
        <v>2</v>
      </c>
      <c r="D15" s="3">
        <v>11400000</v>
      </c>
      <c r="E15" s="3">
        <v>237300</v>
      </c>
      <c r="F15" s="3">
        <v>87300</v>
      </c>
      <c r="G15" s="3">
        <v>52600000</v>
      </c>
    </row>
    <row r="16" spans="1:7" ht="12.75">
      <c r="A16" s="3" t="b">
        <v>1</v>
      </c>
      <c r="B16" s="3">
        <v>59</v>
      </c>
      <c r="C16" s="3">
        <v>64</v>
      </c>
      <c r="D16" s="3">
        <v>11200000</v>
      </c>
      <c r="E16" s="3">
        <v>728700</v>
      </c>
      <c r="F16" s="3">
        <v>188300</v>
      </c>
      <c r="G16" s="3">
        <v>65900000</v>
      </c>
    </row>
    <row r="17" spans="1:7" ht="12.75">
      <c r="A17" s="3" t="b">
        <v>0</v>
      </c>
      <c r="B17" s="3">
        <v>10</v>
      </c>
      <c r="C17" s="3">
        <v>14</v>
      </c>
      <c r="D17" s="3">
        <v>11200000</v>
      </c>
      <c r="E17" s="3">
        <v>390800</v>
      </c>
      <c r="F17" s="3">
        <v>227900</v>
      </c>
      <c r="G17" s="3">
        <v>46100000</v>
      </c>
    </row>
    <row r="18" spans="1:7" ht="12.75">
      <c r="A18" s="3" t="b">
        <v>1</v>
      </c>
      <c r="B18" s="3">
        <v>19</v>
      </c>
      <c r="C18" s="3">
        <v>69</v>
      </c>
      <c r="D18" s="3">
        <v>11000000</v>
      </c>
      <c r="E18" s="3">
        <v>194300</v>
      </c>
      <c r="F18" s="3">
        <v>56300</v>
      </c>
      <c r="G18" s="3">
        <v>77000000</v>
      </c>
    </row>
    <row r="19" spans="1:7" ht="12.75">
      <c r="A19" s="3" t="b">
        <v>0</v>
      </c>
      <c r="B19" s="3">
        <v>10</v>
      </c>
      <c r="C19" s="3">
        <v>191</v>
      </c>
      <c r="D19" s="3">
        <v>10600000</v>
      </c>
      <c r="E19" s="3">
        <v>267700</v>
      </c>
      <c r="F19" s="3">
        <v>111500</v>
      </c>
      <c r="G19" s="3">
        <v>75700000</v>
      </c>
    </row>
    <row r="20" spans="1:7" ht="12.75">
      <c r="A20" s="3" t="b">
        <v>0</v>
      </c>
      <c r="B20" s="3">
        <v>47</v>
      </c>
      <c r="C20" s="3">
        <v>597</v>
      </c>
      <c r="D20" s="3">
        <v>10400000</v>
      </c>
      <c r="E20" s="3">
        <v>32000</v>
      </c>
      <c r="F20" s="3">
        <v>30000</v>
      </c>
      <c r="G20" s="3">
        <v>52100000</v>
      </c>
    </row>
    <row r="21" spans="1:7" ht="12.75">
      <c r="A21" s="3" t="b">
        <v>0</v>
      </c>
      <c r="B21" s="3">
        <v>23</v>
      </c>
      <c r="C21" s="3">
        <v>447</v>
      </c>
      <c r="D21" s="3">
        <v>10400000</v>
      </c>
      <c r="E21" s="3">
        <v>19400</v>
      </c>
      <c r="F21" s="3">
        <v>14000</v>
      </c>
      <c r="G21" s="3">
        <v>106200000</v>
      </c>
    </row>
    <row r="22" spans="1:7" ht="12.75">
      <c r="A22" s="3" t="b">
        <v>0</v>
      </c>
      <c r="B22" s="3">
        <v>16</v>
      </c>
      <c r="C22" s="3">
        <v>31</v>
      </c>
      <c r="D22" s="3">
        <v>10300000</v>
      </c>
      <c r="E22" s="3">
        <v>655800</v>
      </c>
      <c r="F22" s="3">
        <v>328100</v>
      </c>
      <c r="G22" s="3">
        <v>71200000</v>
      </c>
    </row>
    <row r="23" spans="1:7" ht="12.75">
      <c r="A23" s="3" t="b">
        <v>1</v>
      </c>
      <c r="B23" s="3">
        <v>18</v>
      </c>
      <c r="C23" s="3">
        <v>69</v>
      </c>
      <c r="D23" s="3">
        <v>10300000</v>
      </c>
      <c r="E23" s="3">
        <v>186400</v>
      </c>
      <c r="F23" s="3">
        <v>109800</v>
      </c>
      <c r="G23" s="3">
        <v>60300000</v>
      </c>
    </row>
    <row r="24" spans="1:7" ht="12.75">
      <c r="A24" s="3" t="b">
        <v>0</v>
      </c>
      <c r="B24" s="3">
        <v>50</v>
      </c>
      <c r="C24" s="3">
        <v>151</v>
      </c>
      <c r="D24" s="3">
        <v>10200000</v>
      </c>
      <c r="E24" s="3">
        <v>27000</v>
      </c>
      <c r="F24" s="3">
        <v>26500</v>
      </c>
      <c r="G24" s="3">
        <v>44200000</v>
      </c>
    </row>
    <row r="25" spans="1:7" ht="12.75">
      <c r="A25" s="3" t="b">
        <v>0</v>
      </c>
      <c r="B25" s="3">
        <v>7</v>
      </c>
      <c r="C25" s="3">
        <v>157</v>
      </c>
      <c r="D25" s="3">
        <v>10100000</v>
      </c>
      <c r="E25" s="3">
        <v>277100</v>
      </c>
      <c r="F25" s="3">
        <v>93500</v>
      </c>
      <c r="G25" s="3">
        <v>63700000</v>
      </c>
    </row>
    <row r="26" spans="1:7" ht="12.75">
      <c r="A26" s="3" t="b">
        <v>1</v>
      </c>
      <c r="B26" s="3">
        <v>22</v>
      </c>
      <c r="C26" s="3">
        <v>179</v>
      </c>
      <c r="D26" s="3">
        <v>10000000</v>
      </c>
      <c r="E26" s="3">
        <v>39600</v>
      </c>
      <c r="F26" s="3">
        <v>14100</v>
      </c>
      <c r="G26" s="3">
        <v>112600000</v>
      </c>
    </row>
    <row r="27" spans="1:7" ht="12.75">
      <c r="A27" s="3" t="b">
        <v>1</v>
      </c>
      <c r="B27" s="3">
        <v>13</v>
      </c>
      <c r="C27" s="3">
        <v>185</v>
      </c>
      <c r="D27" s="3">
        <v>10000000</v>
      </c>
      <c r="E27" s="3">
        <v>78600</v>
      </c>
      <c r="F27" s="3">
        <v>94100</v>
      </c>
      <c r="G27" s="3">
        <v>54200000</v>
      </c>
    </row>
    <row r="28" spans="1:7" ht="12.75">
      <c r="A28" s="3" t="b">
        <v>0</v>
      </c>
      <c r="B28" s="3">
        <v>15</v>
      </c>
      <c r="C28" s="3">
        <v>122</v>
      </c>
      <c r="D28" s="3">
        <v>9900000</v>
      </c>
      <c r="E28" s="3">
        <v>312000</v>
      </c>
      <c r="F28" s="3">
        <v>63100</v>
      </c>
      <c r="G28" s="3">
        <v>48300000</v>
      </c>
    </row>
    <row r="29" spans="1:7" ht="12.75">
      <c r="A29" s="3" t="b">
        <v>1</v>
      </c>
      <c r="B29" s="3">
        <v>9</v>
      </c>
      <c r="C29" s="3">
        <v>834</v>
      </c>
      <c r="D29" s="3">
        <v>9900000</v>
      </c>
      <c r="E29" s="3">
        <v>536500</v>
      </c>
      <c r="F29" s="3">
        <v>41200</v>
      </c>
      <c r="G29" s="3">
        <v>49600000</v>
      </c>
    </row>
    <row r="30" spans="1:7" ht="12.75">
      <c r="A30" s="3" t="b">
        <v>1</v>
      </c>
      <c r="B30" s="3">
        <v>52</v>
      </c>
      <c r="C30" s="3">
        <v>123</v>
      </c>
      <c r="D30" s="3">
        <v>9700000</v>
      </c>
      <c r="E30" s="3">
        <v>712400</v>
      </c>
      <c r="F30" s="3">
        <v>99000</v>
      </c>
      <c r="G30" s="3">
        <v>55200000</v>
      </c>
    </row>
    <row r="31" spans="1:7" ht="12.75">
      <c r="A31" s="3" t="b">
        <v>0</v>
      </c>
      <c r="B31" s="3">
        <v>9</v>
      </c>
      <c r="C31" s="3">
        <v>165</v>
      </c>
      <c r="D31" s="3">
        <v>9700000</v>
      </c>
      <c r="E31" s="3">
        <v>846900</v>
      </c>
      <c r="F31" s="3">
        <v>541500</v>
      </c>
      <c r="G31" s="3">
        <v>66000000</v>
      </c>
    </row>
    <row r="32" spans="1:7" ht="12.75">
      <c r="A32" s="3" t="b">
        <v>0</v>
      </c>
      <c r="B32" s="3">
        <v>14</v>
      </c>
      <c r="C32" s="3">
        <v>62</v>
      </c>
      <c r="D32" s="3">
        <v>9700000</v>
      </c>
      <c r="E32" s="3">
        <v>82700</v>
      </c>
      <c r="F32" s="3">
        <v>48100</v>
      </c>
      <c r="G32" s="3">
        <v>42800000</v>
      </c>
    </row>
    <row r="33" spans="1:7" ht="12.75">
      <c r="A33" s="3" t="b">
        <v>1</v>
      </c>
      <c r="B33" s="3">
        <v>11</v>
      </c>
      <c r="C33" s="3">
        <v>109</v>
      </c>
      <c r="D33" s="3">
        <v>9500000</v>
      </c>
      <c r="E33" s="3">
        <v>103400</v>
      </c>
      <c r="F33" s="3">
        <v>27600</v>
      </c>
      <c r="G33" s="3">
        <v>74400000</v>
      </c>
    </row>
    <row r="34" spans="1:7" ht="12.75">
      <c r="A34" s="3" t="b">
        <v>1</v>
      </c>
      <c r="B34" s="3">
        <v>34</v>
      </c>
      <c r="C34" s="3">
        <v>511</v>
      </c>
      <c r="D34" s="3">
        <v>9400000</v>
      </c>
      <c r="E34" s="3">
        <v>242200</v>
      </c>
      <c r="F34" s="3">
        <v>88800</v>
      </c>
      <c r="G34" s="3">
        <v>42700000</v>
      </c>
    </row>
    <row r="35" spans="1:7" ht="12.75">
      <c r="A35" s="3" t="b">
        <v>0</v>
      </c>
      <c r="B35" s="3">
        <v>27</v>
      </c>
      <c r="C35" s="3">
        <v>15</v>
      </c>
      <c r="D35" s="3">
        <v>9300000</v>
      </c>
      <c r="E35" s="3">
        <v>210900</v>
      </c>
      <c r="F35" s="3">
        <v>146200</v>
      </c>
      <c r="G35" s="3">
        <v>46300000</v>
      </c>
    </row>
    <row r="36" spans="1:7" ht="12.75">
      <c r="A36" s="3" t="b">
        <v>0</v>
      </c>
      <c r="B36" s="3">
        <v>44</v>
      </c>
      <c r="C36" s="3">
        <v>5</v>
      </c>
      <c r="D36" s="3">
        <v>9300000</v>
      </c>
      <c r="E36" s="3">
        <v>89600</v>
      </c>
      <c r="F36" s="3">
        <v>90000</v>
      </c>
      <c r="G36" s="3">
        <v>50900000</v>
      </c>
    </row>
    <row r="37" spans="1:7" ht="12.75">
      <c r="A37" s="3" t="b">
        <v>1</v>
      </c>
      <c r="B37" s="3">
        <v>46</v>
      </c>
      <c r="C37" s="3">
        <v>13</v>
      </c>
      <c r="D37" s="3">
        <v>9100000</v>
      </c>
      <c r="E37" s="3">
        <v>349700</v>
      </c>
      <c r="F37" s="3">
        <v>71500</v>
      </c>
      <c r="G37" s="3">
        <v>51900000</v>
      </c>
    </row>
    <row r="38" spans="1:7" ht="12.75">
      <c r="A38" s="3" t="b">
        <v>0</v>
      </c>
      <c r="B38" s="3">
        <v>59</v>
      </c>
      <c r="C38" s="3">
        <v>2</v>
      </c>
      <c r="D38" s="3">
        <v>9100000</v>
      </c>
      <c r="E38" s="3">
        <v>86100</v>
      </c>
      <c r="F38" s="3">
        <v>46900</v>
      </c>
      <c r="G38" s="3">
        <v>45200000</v>
      </c>
    </row>
    <row r="39" spans="1:7" ht="12.75">
      <c r="A39" s="3" t="b">
        <v>1</v>
      </c>
      <c r="B39" s="3">
        <v>17</v>
      </c>
      <c r="C39" s="3">
        <v>185</v>
      </c>
      <c r="D39" s="3">
        <v>9100000</v>
      </c>
      <c r="E39" s="3">
        <v>33900</v>
      </c>
      <c r="F39" s="3">
        <v>47100</v>
      </c>
      <c r="G39" s="3">
        <v>85700000</v>
      </c>
    </row>
    <row r="40" spans="1:7" ht="12.75">
      <c r="A40" s="3" t="b">
        <v>0</v>
      </c>
      <c r="B40" s="3">
        <v>10</v>
      </c>
      <c r="C40" s="3">
        <v>185</v>
      </c>
      <c r="D40" s="3">
        <v>9000000</v>
      </c>
      <c r="E40" s="3">
        <v>269700</v>
      </c>
      <c r="F40" s="3">
        <v>110400</v>
      </c>
      <c r="G40" s="3">
        <v>48100000</v>
      </c>
    </row>
    <row r="41" spans="1:7" ht="12.75">
      <c r="A41" s="3" t="b">
        <v>1</v>
      </c>
      <c r="B41" s="3">
        <v>35</v>
      </c>
      <c r="C41" s="3">
        <v>47</v>
      </c>
      <c r="D41" s="3">
        <v>8900000</v>
      </c>
      <c r="E41" s="3">
        <v>253400</v>
      </c>
      <c r="F41" s="3">
        <v>93800</v>
      </c>
      <c r="G41" s="3">
        <v>49400000</v>
      </c>
    </row>
    <row r="42" spans="1:7" ht="12.75">
      <c r="A42" s="3" t="b">
        <v>1</v>
      </c>
      <c r="B42" s="3">
        <v>10</v>
      </c>
      <c r="C42" s="3">
        <v>69</v>
      </c>
      <c r="D42" s="3">
        <v>8900000</v>
      </c>
      <c r="E42" s="3">
        <v>231100</v>
      </c>
      <c r="F42" s="3">
        <v>107300</v>
      </c>
      <c r="G42" s="3">
        <v>61400000</v>
      </c>
    </row>
    <row r="43" spans="1:7" ht="12.75">
      <c r="A43" s="3" t="b">
        <v>1</v>
      </c>
      <c r="B43" s="3">
        <v>10</v>
      </c>
      <c r="C43" s="3">
        <v>22</v>
      </c>
      <c r="D43" s="3">
        <v>8800000</v>
      </c>
      <c r="E43" s="3">
        <v>514600</v>
      </c>
      <c r="F43" s="3">
        <v>57000</v>
      </c>
      <c r="G43" s="3">
        <v>60700000</v>
      </c>
    </row>
    <row r="44" spans="1:7" ht="12.75">
      <c r="A44" s="3" t="b">
        <v>0</v>
      </c>
      <c r="B44" s="3">
        <v>19</v>
      </c>
      <c r="C44" s="3">
        <v>662</v>
      </c>
      <c r="D44" s="3">
        <v>8700000</v>
      </c>
      <c r="E44" s="3">
        <v>784100</v>
      </c>
      <c r="F44" s="3">
        <v>80800</v>
      </c>
      <c r="G44" s="3">
        <v>43300000</v>
      </c>
    </row>
    <row r="45" spans="1:7" ht="12.75">
      <c r="A45" s="3" t="b">
        <v>1</v>
      </c>
      <c r="B45" s="3">
        <v>14</v>
      </c>
      <c r="C45" s="3">
        <v>69</v>
      </c>
      <c r="D45" s="3">
        <v>8700000</v>
      </c>
      <c r="E45" s="3">
        <v>330900</v>
      </c>
      <c r="F45" s="3">
        <v>143200</v>
      </c>
      <c r="G45" s="3">
        <v>49700000</v>
      </c>
    </row>
    <row r="46" spans="1:7" ht="12.75">
      <c r="A46" s="3" t="b">
        <v>0</v>
      </c>
      <c r="B46" s="3">
        <v>53</v>
      </c>
      <c r="C46" s="3">
        <v>2437</v>
      </c>
      <c r="D46" s="3">
        <v>8700000</v>
      </c>
      <c r="E46" s="3">
        <v>69300</v>
      </c>
      <c r="F46" s="3">
        <v>33400</v>
      </c>
      <c r="G46" s="3">
        <v>39200000</v>
      </c>
    </row>
    <row r="47" spans="1:7" ht="12.75">
      <c r="A47" s="3" t="b">
        <v>1</v>
      </c>
      <c r="B47" s="3">
        <v>21</v>
      </c>
      <c r="C47" s="3">
        <v>4</v>
      </c>
      <c r="D47" s="3">
        <v>8700000</v>
      </c>
      <c r="E47" s="3">
        <v>17100</v>
      </c>
      <c r="F47" s="3">
        <v>91500</v>
      </c>
      <c r="G47" s="3">
        <v>88200000</v>
      </c>
    </row>
    <row r="48" spans="1:7" ht="12.75">
      <c r="A48" s="3" t="b">
        <v>0</v>
      </c>
      <c r="B48" s="3">
        <v>29</v>
      </c>
      <c r="C48" s="3">
        <v>602</v>
      </c>
      <c r="D48" s="3">
        <v>8600000</v>
      </c>
      <c r="E48" s="3">
        <v>134900</v>
      </c>
      <c r="F48" s="3">
        <v>58100</v>
      </c>
      <c r="G48" s="3">
        <v>40200000</v>
      </c>
    </row>
    <row r="49" spans="1:7" ht="12.75">
      <c r="A49" s="3" t="b">
        <v>0</v>
      </c>
      <c r="B49" s="3">
        <v>47</v>
      </c>
      <c r="C49" s="3">
        <v>597</v>
      </c>
      <c r="D49" s="3">
        <v>8600000</v>
      </c>
      <c r="E49" s="3">
        <v>56800</v>
      </c>
      <c r="F49" s="3">
        <v>43300</v>
      </c>
      <c r="G49" s="3">
        <v>40200000</v>
      </c>
    </row>
    <row r="50" spans="1:7" ht="12.75">
      <c r="A50" s="3" t="b">
        <v>1</v>
      </c>
      <c r="B50" s="3">
        <v>9</v>
      </c>
      <c r="C50" s="3">
        <v>185</v>
      </c>
      <c r="D50" s="3">
        <v>8400000</v>
      </c>
      <c r="E50" s="3">
        <v>57200</v>
      </c>
      <c r="F50" s="3">
        <v>69000</v>
      </c>
      <c r="G50" s="3">
        <v>45800000</v>
      </c>
    </row>
    <row r="51" spans="1:7" ht="12.75">
      <c r="A51" s="3" t="b">
        <v>0</v>
      </c>
      <c r="B51" s="3">
        <v>15</v>
      </c>
      <c r="C51" s="3">
        <v>317</v>
      </c>
      <c r="D51" s="3">
        <v>8400000</v>
      </c>
      <c r="E51" s="3">
        <v>152800</v>
      </c>
      <c r="F51" s="3">
        <v>17700</v>
      </c>
      <c r="G51" s="3">
        <v>123200000</v>
      </c>
    </row>
    <row r="52" spans="1:7" ht="12.75">
      <c r="A52" s="3" t="b">
        <v>0</v>
      </c>
      <c r="B52" s="3">
        <v>47</v>
      </c>
      <c r="C52" s="3">
        <v>115</v>
      </c>
      <c r="D52" s="3">
        <v>8300000</v>
      </c>
      <c r="E52" s="3">
        <v>414200</v>
      </c>
      <c r="F52" s="3">
        <v>55900</v>
      </c>
      <c r="G52" s="3">
        <v>56600000</v>
      </c>
    </row>
    <row r="53" spans="1:7" ht="12.75">
      <c r="A53" s="3" t="b">
        <v>1</v>
      </c>
      <c r="B53" s="3">
        <v>14</v>
      </c>
      <c r="C53" s="3">
        <v>68</v>
      </c>
      <c r="D53" s="3">
        <v>8300000</v>
      </c>
      <c r="E53" s="3">
        <v>290600</v>
      </c>
      <c r="F53" s="3">
        <v>93800</v>
      </c>
      <c r="G53" s="3">
        <v>44500000</v>
      </c>
    </row>
    <row r="54" spans="1:7" ht="12.75">
      <c r="A54" s="3" t="b">
        <v>0</v>
      </c>
      <c r="B54" s="3">
        <v>170</v>
      </c>
      <c r="C54" s="3">
        <v>7</v>
      </c>
      <c r="D54" s="3">
        <v>8200000</v>
      </c>
      <c r="E54" s="3">
        <v>227600</v>
      </c>
      <c r="F54" s="3">
        <v>74600</v>
      </c>
      <c r="G54" s="3">
        <v>28800000</v>
      </c>
    </row>
    <row r="55" spans="1:7" ht="12.75">
      <c r="A55" s="3" t="b">
        <v>1</v>
      </c>
      <c r="B55" s="3">
        <v>15</v>
      </c>
      <c r="C55" s="3">
        <v>69</v>
      </c>
      <c r="D55" s="3">
        <v>8100000</v>
      </c>
      <c r="E55" s="3">
        <v>268400</v>
      </c>
      <c r="F55" s="3">
        <v>44300</v>
      </c>
      <c r="G55" s="3">
        <v>46800000</v>
      </c>
    </row>
    <row r="56" spans="1:7" ht="12.75">
      <c r="A56" s="3" t="b">
        <v>1</v>
      </c>
      <c r="B56" s="3">
        <v>30</v>
      </c>
      <c r="C56" s="3">
        <v>49</v>
      </c>
      <c r="D56" s="3">
        <v>8100000</v>
      </c>
      <c r="E56" s="3">
        <v>276100</v>
      </c>
      <c r="F56" s="3">
        <v>64900</v>
      </c>
      <c r="G56" s="3">
        <v>50900000</v>
      </c>
    </row>
    <row r="57" spans="1:7" ht="12.75">
      <c r="A57" s="3" t="b">
        <v>0</v>
      </c>
      <c r="B57" s="3">
        <v>16</v>
      </c>
      <c r="C57" s="3">
        <v>37</v>
      </c>
      <c r="D57" s="3">
        <v>8000000</v>
      </c>
      <c r="E57" s="3">
        <v>131900</v>
      </c>
      <c r="F57" s="3">
        <v>63100</v>
      </c>
      <c r="G57" s="3">
        <v>77000000</v>
      </c>
    </row>
    <row r="58" spans="1:7" ht="12.75">
      <c r="A58" s="3" t="b">
        <v>0</v>
      </c>
      <c r="B58" s="3">
        <v>6</v>
      </c>
      <c r="C58" s="3">
        <v>296</v>
      </c>
      <c r="D58" s="3">
        <v>7900000</v>
      </c>
      <c r="E58" s="3">
        <v>488400</v>
      </c>
      <c r="F58" s="3">
        <v>80400</v>
      </c>
      <c r="G58" s="3">
        <v>100600000</v>
      </c>
    </row>
    <row r="59" spans="1:7" ht="12.75">
      <c r="A59" s="3" t="b">
        <v>0</v>
      </c>
      <c r="B59" s="3">
        <v>59</v>
      </c>
      <c r="C59" s="3">
        <v>249</v>
      </c>
      <c r="D59" s="3">
        <v>7800000</v>
      </c>
      <c r="E59" s="3">
        <v>256300</v>
      </c>
      <c r="F59" s="3">
        <v>0</v>
      </c>
      <c r="G59" s="3">
        <v>42700000</v>
      </c>
    </row>
    <row r="60" spans="1:7" ht="12.75">
      <c r="A60" s="3" t="b">
        <v>1</v>
      </c>
      <c r="B60" s="3">
        <v>9</v>
      </c>
      <c r="C60" s="3">
        <v>185</v>
      </c>
      <c r="D60" s="3">
        <v>7800000</v>
      </c>
      <c r="E60" s="3">
        <v>43900</v>
      </c>
      <c r="F60" s="3">
        <v>47700</v>
      </c>
      <c r="G60" s="3">
        <v>71500000</v>
      </c>
    </row>
    <row r="61" spans="1:7" ht="12.75">
      <c r="A61" s="3" t="b">
        <v>0</v>
      </c>
      <c r="B61" s="3">
        <v>19</v>
      </c>
      <c r="C61" s="3">
        <v>368</v>
      </c>
      <c r="D61" s="3">
        <v>7800000</v>
      </c>
      <c r="E61" s="3">
        <v>49800</v>
      </c>
      <c r="F61" s="3">
        <v>13600</v>
      </c>
      <c r="G61" s="3">
        <v>142900000</v>
      </c>
    </row>
    <row r="62" spans="1:7" ht="12.75">
      <c r="A62" s="3" t="b">
        <v>1</v>
      </c>
      <c r="B62" s="3">
        <v>16</v>
      </c>
      <c r="C62" s="3">
        <v>69</v>
      </c>
      <c r="D62" s="3">
        <v>7700000</v>
      </c>
      <c r="E62" s="3">
        <v>198400</v>
      </c>
      <c r="F62" s="3">
        <v>85600</v>
      </c>
      <c r="G62" s="3">
        <v>50100000</v>
      </c>
    </row>
    <row r="63" spans="1:7" ht="12.75">
      <c r="A63" s="3" t="b">
        <v>0</v>
      </c>
      <c r="B63" s="3">
        <v>38</v>
      </c>
      <c r="C63" s="3">
        <v>0</v>
      </c>
      <c r="D63" s="3">
        <v>7700000</v>
      </c>
      <c r="E63" s="3">
        <v>226400</v>
      </c>
      <c r="F63" s="3">
        <v>69400</v>
      </c>
      <c r="G63" s="3">
        <v>36000000</v>
      </c>
    </row>
    <row r="64" spans="1:7" ht="12.75">
      <c r="A64" s="3" t="b">
        <v>1</v>
      </c>
      <c r="B64" s="3">
        <v>43</v>
      </c>
      <c r="C64" s="3">
        <v>42</v>
      </c>
      <c r="D64" s="3">
        <v>7700000</v>
      </c>
      <c r="E64" s="3">
        <v>202800</v>
      </c>
      <c r="F64" s="3">
        <v>56200</v>
      </c>
      <c r="G64" s="3">
        <v>30500000</v>
      </c>
    </row>
    <row r="65" spans="1:7" ht="12.75">
      <c r="A65" s="3" t="b">
        <v>0</v>
      </c>
      <c r="B65" s="3">
        <v>8</v>
      </c>
      <c r="C65" s="3">
        <v>99</v>
      </c>
      <c r="D65" s="3">
        <v>7700000</v>
      </c>
      <c r="E65" s="3">
        <v>620400</v>
      </c>
      <c r="F65" s="3">
        <v>55300</v>
      </c>
      <c r="G65" s="3">
        <v>40800000</v>
      </c>
    </row>
    <row r="66" spans="1:7" ht="12.75">
      <c r="A66" s="3" t="b">
        <v>1</v>
      </c>
      <c r="B66" s="3">
        <v>7</v>
      </c>
      <c r="C66" s="3">
        <v>13</v>
      </c>
      <c r="D66" s="3">
        <v>7600000</v>
      </c>
      <c r="E66" s="3">
        <v>478500</v>
      </c>
      <c r="F66" s="3">
        <v>77100</v>
      </c>
      <c r="G66" s="3">
        <v>50700000</v>
      </c>
    </row>
    <row r="67" spans="1:7" ht="12.75">
      <c r="A67" s="3" t="b">
        <v>0</v>
      </c>
      <c r="B67" s="3">
        <v>56</v>
      </c>
      <c r="C67" s="3">
        <v>0</v>
      </c>
      <c r="D67" s="3">
        <v>7600000</v>
      </c>
      <c r="E67" s="3">
        <v>473400</v>
      </c>
      <c r="F67" s="3">
        <v>114600</v>
      </c>
      <c r="G67" s="3">
        <v>102000000</v>
      </c>
    </row>
    <row r="68" spans="1:7" ht="12.75">
      <c r="A68" s="3" t="b">
        <v>0</v>
      </c>
      <c r="B68" s="3">
        <v>15</v>
      </c>
      <c r="C68" s="3">
        <v>68</v>
      </c>
      <c r="D68" s="3">
        <v>7600000</v>
      </c>
      <c r="E68" s="3">
        <v>66600</v>
      </c>
      <c r="F68" s="3">
        <v>44500</v>
      </c>
      <c r="G68" s="3">
        <v>97200000</v>
      </c>
    </row>
    <row r="69" spans="1:7" ht="12.75">
      <c r="A69" s="3" t="b">
        <v>0</v>
      </c>
      <c r="B69" s="3">
        <v>8</v>
      </c>
      <c r="C69" s="3">
        <v>90</v>
      </c>
      <c r="D69" s="3">
        <v>7600000</v>
      </c>
      <c r="E69" s="3">
        <v>711800</v>
      </c>
      <c r="F69" s="3">
        <v>63200</v>
      </c>
      <c r="G69" s="3">
        <v>142000000</v>
      </c>
    </row>
    <row r="70" spans="1:7" ht="12.75">
      <c r="A70" s="3" t="b">
        <v>0</v>
      </c>
      <c r="B70" s="3">
        <v>9</v>
      </c>
      <c r="C70" s="3">
        <v>194</v>
      </c>
      <c r="D70" s="3">
        <v>7500000</v>
      </c>
      <c r="E70" s="3">
        <v>442500</v>
      </c>
      <c r="F70" s="3">
        <v>41200</v>
      </c>
      <c r="G70" s="3">
        <v>49100000</v>
      </c>
    </row>
    <row r="71" spans="1:7" ht="12.75">
      <c r="A71" s="3" t="b">
        <v>1</v>
      </c>
      <c r="B71" s="3">
        <v>19</v>
      </c>
      <c r="C71" s="3">
        <v>128</v>
      </c>
      <c r="D71" s="3">
        <v>7500000</v>
      </c>
      <c r="E71" s="3">
        <v>255100</v>
      </c>
      <c r="F71" s="3">
        <v>150400</v>
      </c>
      <c r="G71" s="3">
        <v>56400000</v>
      </c>
    </row>
    <row r="72" spans="1:7" ht="12.75">
      <c r="A72" s="3" t="b">
        <v>0</v>
      </c>
      <c r="B72" s="3">
        <v>7</v>
      </c>
      <c r="C72" s="3">
        <v>191</v>
      </c>
      <c r="D72" s="3">
        <v>7500000</v>
      </c>
      <c r="E72" s="3">
        <v>431600</v>
      </c>
      <c r="F72" s="3">
        <v>64100</v>
      </c>
      <c r="G72" s="3">
        <v>59700000</v>
      </c>
    </row>
    <row r="73" spans="1:7" ht="12.75">
      <c r="A73" s="3" t="b">
        <v>1</v>
      </c>
      <c r="B73" s="3">
        <v>20</v>
      </c>
      <c r="C73" s="3">
        <v>127</v>
      </c>
      <c r="D73" s="3">
        <v>7400000</v>
      </c>
      <c r="E73" s="3">
        <v>291900</v>
      </c>
      <c r="F73" s="3">
        <v>37900</v>
      </c>
      <c r="G73" s="3">
        <v>41000000</v>
      </c>
    </row>
    <row r="74" spans="1:7" ht="12.75">
      <c r="A74" s="3" t="b">
        <v>0</v>
      </c>
      <c r="B74" s="3">
        <v>40</v>
      </c>
      <c r="C74" s="3">
        <v>537</v>
      </c>
      <c r="D74" s="3">
        <v>7400000</v>
      </c>
      <c r="E74" s="3">
        <v>464700</v>
      </c>
      <c r="F74" s="3">
        <v>91200</v>
      </c>
      <c r="G74" s="3">
        <v>34000000</v>
      </c>
    </row>
    <row r="75" spans="1:7" ht="12.75">
      <c r="A75" s="3" t="b">
        <v>0</v>
      </c>
      <c r="B75" s="3">
        <v>57</v>
      </c>
      <c r="C75" s="3">
        <v>247</v>
      </c>
      <c r="D75" s="3">
        <v>7400000</v>
      </c>
      <c r="E75" s="3">
        <v>554700</v>
      </c>
      <c r="F75" s="3">
        <v>92800</v>
      </c>
      <c r="G75" s="3">
        <v>38000000</v>
      </c>
    </row>
    <row r="76" spans="1:7" ht="12.75">
      <c r="A76" s="3" t="b">
        <v>1</v>
      </c>
      <c r="B76" s="3">
        <v>23</v>
      </c>
      <c r="C76" s="3">
        <v>179</v>
      </c>
      <c r="D76" s="3">
        <v>7400000</v>
      </c>
      <c r="E76" s="3">
        <v>81600</v>
      </c>
      <c r="F76" s="3">
        <v>14000</v>
      </c>
      <c r="G76" s="3">
        <v>69400000</v>
      </c>
    </row>
    <row r="77" spans="1:7" ht="12.75">
      <c r="A77" s="3" t="b">
        <v>1</v>
      </c>
      <c r="B77" s="3">
        <v>30</v>
      </c>
      <c r="C77" s="3">
        <v>109</v>
      </c>
      <c r="D77" s="3">
        <v>7300000</v>
      </c>
      <c r="E77" s="3">
        <v>21200</v>
      </c>
      <c r="F77" s="3">
        <v>12600</v>
      </c>
      <c r="G77" s="3">
        <v>53100000</v>
      </c>
    </row>
    <row r="78" spans="1:7" ht="12.75">
      <c r="A78" s="3" t="b">
        <v>0</v>
      </c>
      <c r="B78" s="3">
        <v>23</v>
      </c>
      <c r="C78" s="3">
        <v>447</v>
      </c>
      <c r="D78" s="3">
        <v>7300000</v>
      </c>
      <c r="E78" s="3">
        <v>8102</v>
      </c>
      <c r="F78" s="3">
        <v>16300</v>
      </c>
      <c r="G78" s="3">
        <v>86200000</v>
      </c>
    </row>
    <row r="79" spans="1:7" ht="12.75">
      <c r="A79" s="3" t="b">
        <v>1</v>
      </c>
      <c r="B79" s="3">
        <v>14</v>
      </c>
      <c r="C79" s="3">
        <v>159</v>
      </c>
      <c r="D79" s="3">
        <v>7300000</v>
      </c>
      <c r="E79" s="3">
        <v>173800</v>
      </c>
      <c r="F79" s="3">
        <v>37300</v>
      </c>
      <c r="G79" s="3">
        <v>38300000</v>
      </c>
    </row>
    <row r="80" spans="1:7" ht="12.75">
      <c r="A80" s="3" t="b">
        <v>1</v>
      </c>
      <c r="B80" s="3">
        <v>9</v>
      </c>
      <c r="C80" s="3">
        <v>90</v>
      </c>
      <c r="D80" s="3">
        <v>7200000</v>
      </c>
      <c r="E80" s="3">
        <v>227600</v>
      </c>
      <c r="F80" s="3">
        <v>37300</v>
      </c>
      <c r="G80" s="3">
        <v>50500000</v>
      </c>
    </row>
    <row r="81" spans="1:7" ht="12.75">
      <c r="A81" s="3" t="b">
        <v>1</v>
      </c>
      <c r="B81" s="3">
        <v>35</v>
      </c>
      <c r="C81" s="3">
        <v>185</v>
      </c>
      <c r="D81" s="3">
        <v>7100000</v>
      </c>
      <c r="E81" s="3">
        <v>375800</v>
      </c>
      <c r="F81" s="3">
        <v>71800</v>
      </c>
      <c r="G81" s="3">
        <v>40100000</v>
      </c>
    </row>
    <row r="82" spans="1:7" ht="12.75">
      <c r="A82" s="3" t="b">
        <v>0</v>
      </c>
      <c r="B82" s="3">
        <v>30</v>
      </c>
      <c r="C82" s="3">
        <v>47</v>
      </c>
      <c r="D82" s="3">
        <v>7100000</v>
      </c>
      <c r="E82" s="3">
        <v>19400</v>
      </c>
      <c r="F82" s="3">
        <v>27500</v>
      </c>
      <c r="G82" s="3">
        <v>49200000</v>
      </c>
    </row>
    <row r="83" spans="1:7" ht="12.75">
      <c r="A83" s="3" t="b">
        <v>0</v>
      </c>
      <c r="B83" s="3">
        <v>22</v>
      </c>
      <c r="C83" s="3">
        <v>33</v>
      </c>
      <c r="D83" s="3">
        <v>7100000</v>
      </c>
      <c r="E83" s="3">
        <v>156400</v>
      </c>
      <c r="F83" s="3">
        <v>32100</v>
      </c>
      <c r="G83" s="3">
        <v>51500000</v>
      </c>
    </row>
    <row r="84" spans="1:7" ht="12.75">
      <c r="A84" s="3" t="b">
        <v>1</v>
      </c>
      <c r="B84" s="3">
        <v>24</v>
      </c>
      <c r="C84" s="3">
        <v>68</v>
      </c>
      <c r="D84" s="3">
        <v>7100000</v>
      </c>
      <c r="E84" s="3">
        <v>105200</v>
      </c>
      <c r="F84" s="3">
        <v>75000</v>
      </c>
      <c r="G84" s="3">
        <v>35200000</v>
      </c>
    </row>
    <row r="85" spans="1:7" ht="12.75">
      <c r="A85" s="3" t="b">
        <v>0</v>
      </c>
      <c r="B85" s="3">
        <v>10</v>
      </c>
      <c r="C85" s="3">
        <v>1278</v>
      </c>
      <c r="D85" s="3">
        <v>7100000</v>
      </c>
      <c r="E85" s="3">
        <v>253100</v>
      </c>
      <c r="F85" s="3">
        <v>77800</v>
      </c>
      <c r="G85" s="3">
        <v>38400000</v>
      </c>
    </row>
    <row r="86" spans="1:7" ht="12.75">
      <c r="A86" s="3" t="b">
        <v>0</v>
      </c>
      <c r="B86" s="3">
        <v>13</v>
      </c>
      <c r="C86" s="3">
        <v>453</v>
      </c>
      <c r="D86" s="3">
        <v>7100000</v>
      </c>
      <c r="E86" s="3">
        <v>89700</v>
      </c>
      <c r="F86" s="3">
        <v>30500</v>
      </c>
      <c r="G86" s="3">
        <v>55200000</v>
      </c>
    </row>
    <row r="87" spans="1:7" ht="12.75">
      <c r="A87" s="3" t="b">
        <v>0</v>
      </c>
      <c r="B87" s="3">
        <v>36</v>
      </c>
      <c r="C87" s="3">
        <v>360</v>
      </c>
      <c r="D87" s="3">
        <v>7000000</v>
      </c>
      <c r="E87" s="3">
        <v>150400</v>
      </c>
      <c r="F87" s="3">
        <v>48300</v>
      </c>
      <c r="G87" s="3">
        <v>31500000</v>
      </c>
    </row>
    <row r="88" spans="1:7" ht="12.75">
      <c r="A88" s="3" t="b">
        <v>0</v>
      </c>
      <c r="B88" s="3">
        <v>13</v>
      </c>
      <c r="C88" s="3">
        <v>71</v>
      </c>
      <c r="D88" s="3">
        <v>7000000</v>
      </c>
      <c r="E88" s="3">
        <v>33600</v>
      </c>
      <c r="F88" s="3">
        <v>25500</v>
      </c>
      <c r="G88" s="3">
        <v>34100000</v>
      </c>
    </row>
    <row r="89" spans="1:7" ht="12.75">
      <c r="A89" s="3" t="b">
        <v>1</v>
      </c>
      <c r="B89" s="3">
        <v>20</v>
      </c>
      <c r="C89" s="3">
        <v>14</v>
      </c>
      <c r="D89" s="3">
        <v>7000000</v>
      </c>
      <c r="E89" s="3">
        <v>182100</v>
      </c>
      <c r="F89" s="3">
        <v>9796</v>
      </c>
      <c r="G89" s="3">
        <v>79400000</v>
      </c>
    </row>
    <row r="90" spans="1:7" ht="12.75">
      <c r="A90" s="3" t="b">
        <v>0</v>
      </c>
      <c r="B90" s="3">
        <v>7</v>
      </c>
      <c r="C90" s="3">
        <v>5</v>
      </c>
      <c r="D90" s="3">
        <v>7000000</v>
      </c>
      <c r="E90" s="3">
        <v>262900</v>
      </c>
      <c r="F90" s="3">
        <v>60100</v>
      </c>
      <c r="G90" s="3">
        <v>70700000</v>
      </c>
    </row>
    <row r="91" spans="1:7" ht="12.75">
      <c r="A91" s="3" t="b">
        <v>0</v>
      </c>
      <c r="B91" s="3">
        <v>12</v>
      </c>
      <c r="C91" s="3">
        <v>2</v>
      </c>
      <c r="D91" s="3">
        <v>7000000</v>
      </c>
      <c r="E91" s="3">
        <v>256400</v>
      </c>
      <c r="F91" s="3">
        <v>86800</v>
      </c>
      <c r="G91" s="3">
        <v>48700000</v>
      </c>
    </row>
    <row r="92" spans="1:7" ht="12.75">
      <c r="A92" s="3" t="b">
        <v>1</v>
      </c>
      <c r="B92" s="3">
        <v>42</v>
      </c>
      <c r="C92" s="3">
        <v>22</v>
      </c>
      <c r="D92" s="3">
        <v>7000000</v>
      </c>
      <c r="E92" s="3">
        <v>40800</v>
      </c>
      <c r="F92" s="3">
        <v>11100</v>
      </c>
      <c r="G92" s="3">
        <v>49800000</v>
      </c>
    </row>
    <row r="93" spans="1:7" ht="12.75">
      <c r="A93" s="3" t="b">
        <v>1</v>
      </c>
      <c r="B93" s="3">
        <v>16</v>
      </c>
      <c r="C93" s="3">
        <v>68</v>
      </c>
      <c r="D93" s="3">
        <v>7000000</v>
      </c>
      <c r="E93" s="3">
        <v>39600</v>
      </c>
      <c r="F93" s="3">
        <v>26700</v>
      </c>
      <c r="G93" s="3">
        <v>48700000</v>
      </c>
    </row>
    <row r="94" spans="1:7" ht="12.75">
      <c r="A94" s="3" t="b">
        <v>0</v>
      </c>
      <c r="B94" s="3">
        <v>16</v>
      </c>
      <c r="C94" s="3">
        <v>1198</v>
      </c>
      <c r="D94" s="3">
        <v>6900000</v>
      </c>
      <c r="E94" s="3">
        <v>116200</v>
      </c>
      <c r="F94" s="3">
        <v>70800</v>
      </c>
      <c r="G94" s="3">
        <v>43000000</v>
      </c>
    </row>
    <row r="95" spans="1:7" ht="12.75">
      <c r="A95" s="3" t="b">
        <v>0</v>
      </c>
      <c r="B95" s="3">
        <v>59</v>
      </c>
      <c r="C95" s="3">
        <v>212</v>
      </c>
      <c r="D95" s="3">
        <v>6900000</v>
      </c>
      <c r="E95" s="3">
        <v>43700</v>
      </c>
      <c r="F95" s="3">
        <v>25900</v>
      </c>
      <c r="G95" s="3">
        <v>32600000</v>
      </c>
    </row>
    <row r="96" spans="1:7" ht="12.75">
      <c r="A96" s="3" t="b">
        <v>1</v>
      </c>
      <c r="B96" s="3">
        <v>26</v>
      </c>
      <c r="C96" s="3">
        <v>109</v>
      </c>
      <c r="D96" s="3">
        <v>6900000</v>
      </c>
      <c r="E96" s="3">
        <v>136400</v>
      </c>
      <c r="F96" s="3">
        <v>10500</v>
      </c>
      <c r="G96" s="3">
        <v>55400000</v>
      </c>
    </row>
    <row r="97" spans="1:7" ht="12.75">
      <c r="A97" s="3" t="b">
        <v>1</v>
      </c>
      <c r="B97" s="3">
        <v>59</v>
      </c>
      <c r="C97" s="3">
        <v>88</v>
      </c>
      <c r="D97" s="3">
        <v>6900000</v>
      </c>
      <c r="E97" s="3">
        <v>194900</v>
      </c>
      <c r="F97" s="3">
        <v>30800</v>
      </c>
      <c r="G97" s="3">
        <v>82300000</v>
      </c>
    </row>
    <row r="98" spans="1:7" ht="12.75">
      <c r="A98" s="3" t="b">
        <v>0</v>
      </c>
      <c r="B98" s="3">
        <v>9</v>
      </c>
      <c r="C98" s="3">
        <v>7</v>
      </c>
      <c r="D98" s="3">
        <v>6900000</v>
      </c>
      <c r="E98" s="3">
        <v>118100</v>
      </c>
      <c r="F98" s="3">
        <v>74900</v>
      </c>
      <c r="G98" s="3">
        <v>55100000</v>
      </c>
    </row>
    <row r="99" spans="1:7" ht="12.75">
      <c r="A99" s="3" t="b">
        <v>0</v>
      </c>
      <c r="B99" s="3">
        <v>15</v>
      </c>
      <c r="C99" s="3">
        <v>425</v>
      </c>
      <c r="D99" s="3">
        <v>6900000</v>
      </c>
      <c r="E99" s="3">
        <v>224600</v>
      </c>
      <c r="F99" s="3">
        <v>34800</v>
      </c>
      <c r="G99" s="3">
        <v>27700000</v>
      </c>
    </row>
    <row r="100" spans="1:7" ht="12.75">
      <c r="A100" s="3" t="b">
        <v>0</v>
      </c>
      <c r="B100" s="3">
        <v>39</v>
      </c>
      <c r="C100" s="3">
        <v>52</v>
      </c>
      <c r="D100" s="3">
        <v>6800000</v>
      </c>
      <c r="E100" s="3">
        <v>205700</v>
      </c>
      <c r="F100" s="3">
        <v>71100</v>
      </c>
      <c r="G100" s="3">
        <v>58400000</v>
      </c>
    </row>
    <row r="101" spans="1:7" ht="12.75">
      <c r="A101" s="3" t="b">
        <v>0</v>
      </c>
      <c r="B101" s="3">
        <v>37</v>
      </c>
      <c r="C101" s="3">
        <v>108</v>
      </c>
      <c r="D101" s="3">
        <v>6800000</v>
      </c>
      <c r="E101" s="3">
        <v>46700</v>
      </c>
      <c r="F101" s="3">
        <v>31600</v>
      </c>
      <c r="G101" s="3">
        <v>161300000</v>
      </c>
    </row>
  </sheetData>
  <pageMargins left="0" right="0" top="0" bottom="0" header="0" footer="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F101"/>
  <sheetViews>
    <sheetView workbookViewId="0"/>
  </sheetViews>
  <sheetFormatPr defaultColWidth="12.5703125" defaultRowHeight="15.75" customHeight="1"/>
  <sheetData>
    <row r="1" spans="1:6">
      <c r="A1" s="3" t="s">
        <v>146</v>
      </c>
      <c r="B1" s="3" t="s">
        <v>147</v>
      </c>
      <c r="C1" s="3" t="s">
        <v>148</v>
      </c>
      <c r="D1" s="3" t="s">
        <v>149</v>
      </c>
      <c r="E1" s="3" t="s">
        <v>150</v>
      </c>
      <c r="F1" s="3" t="s">
        <v>151</v>
      </c>
    </row>
    <row r="2" spans="1:6">
      <c r="A2" s="3">
        <v>1628617138</v>
      </c>
      <c r="B2" s="3">
        <v>34</v>
      </c>
      <c r="C2" s="3">
        <v>384700</v>
      </c>
      <c r="D2" s="3">
        <v>6087</v>
      </c>
      <c r="E2" s="3">
        <v>56200</v>
      </c>
      <c r="F2" s="3">
        <v>3100000</v>
      </c>
    </row>
    <row r="3" spans="1:6">
      <c r="A3" s="3">
        <v>1628539600</v>
      </c>
      <c r="B3" s="3">
        <v>46</v>
      </c>
      <c r="C3" s="3">
        <v>40600</v>
      </c>
      <c r="D3" s="3">
        <v>1765</v>
      </c>
      <c r="E3" s="3">
        <v>6552</v>
      </c>
      <c r="F3" s="3">
        <v>963000</v>
      </c>
    </row>
    <row r="4" spans="1:6">
      <c r="A4" s="3">
        <v>1628190820</v>
      </c>
      <c r="B4" s="3">
        <v>57</v>
      </c>
      <c r="C4" s="3">
        <v>52600</v>
      </c>
      <c r="D4" s="3">
        <v>3528</v>
      </c>
      <c r="E4" s="3">
        <v>12600</v>
      </c>
      <c r="F4" s="3">
        <v>925900</v>
      </c>
    </row>
    <row r="5" spans="1:6">
      <c r="A5" s="3">
        <v>1626392287</v>
      </c>
      <c r="B5" s="3">
        <v>30</v>
      </c>
      <c r="C5" s="3">
        <v>298100</v>
      </c>
      <c r="D5" s="3">
        <v>7123</v>
      </c>
      <c r="E5" s="3">
        <v>50400</v>
      </c>
      <c r="F5" s="3">
        <v>11800000</v>
      </c>
    </row>
    <row r="6" spans="1:6">
      <c r="A6" s="3">
        <v>1626361969</v>
      </c>
      <c r="B6" s="3">
        <v>27</v>
      </c>
      <c r="C6" s="3">
        <v>82800</v>
      </c>
      <c r="D6" s="3">
        <v>4557</v>
      </c>
      <c r="E6" s="3">
        <v>17000</v>
      </c>
      <c r="F6" s="3">
        <v>1500000</v>
      </c>
    </row>
    <row r="7" spans="1:6">
      <c r="A7" s="3">
        <v>1626301764</v>
      </c>
      <c r="B7" s="3">
        <v>60</v>
      </c>
      <c r="C7" s="3">
        <v>52500</v>
      </c>
      <c r="D7" s="3">
        <v>1888</v>
      </c>
      <c r="E7" s="3">
        <v>5878</v>
      </c>
      <c r="F7" s="3">
        <v>1100000</v>
      </c>
    </row>
    <row r="8" spans="1:6">
      <c r="A8" s="3">
        <v>1625861044</v>
      </c>
      <c r="B8" s="3">
        <v>28</v>
      </c>
      <c r="C8" s="3">
        <v>88300</v>
      </c>
      <c r="D8" s="3">
        <v>5036</v>
      </c>
      <c r="E8" s="3">
        <v>13800</v>
      </c>
      <c r="F8" s="3">
        <v>1400000</v>
      </c>
    </row>
    <row r="9" spans="1:6">
      <c r="A9" s="3">
        <v>1625762680</v>
      </c>
      <c r="B9" s="3">
        <v>15</v>
      </c>
      <c r="C9" s="3">
        <v>34900</v>
      </c>
      <c r="D9" s="3">
        <v>1906</v>
      </c>
      <c r="E9" s="3">
        <v>6167</v>
      </c>
      <c r="F9" s="3">
        <v>821700</v>
      </c>
    </row>
    <row r="10" spans="1:6">
      <c r="A10" s="3">
        <v>1625707277</v>
      </c>
      <c r="B10" s="3">
        <v>10</v>
      </c>
      <c r="C10" s="3">
        <v>187000</v>
      </c>
      <c r="D10" s="3">
        <v>2478</v>
      </c>
      <c r="E10" s="3">
        <v>7210</v>
      </c>
      <c r="F10" s="3">
        <v>3200000</v>
      </c>
    </row>
    <row r="11" spans="1:6">
      <c r="A11" s="3">
        <v>1625654869</v>
      </c>
      <c r="B11" s="3">
        <v>15</v>
      </c>
      <c r="C11" s="3">
        <v>116500</v>
      </c>
      <c r="D11" s="3">
        <v>2317</v>
      </c>
      <c r="E11" s="3">
        <v>7805</v>
      </c>
      <c r="F11" s="3">
        <v>2400000</v>
      </c>
    </row>
    <row r="12" spans="1:6">
      <c r="A12" s="3">
        <v>1625270904</v>
      </c>
      <c r="B12" s="3">
        <v>29</v>
      </c>
      <c r="C12" s="3">
        <v>247100</v>
      </c>
      <c r="D12" s="3">
        <v>5655</v>
      </c>
      <c r="E12" s="3">
        <v>5280</v>
      </c>
      <c r="F12" s="3">
        <v>42800000</v>
      </c>
    </row>
    <row r="13" spans="1:6">
      <c r="A13" s="3">
        <v>1625080909</v>
      </c>
      <c r="B13" s="3">
        <v>15</v>
      </c>
      <c r="C13" s="3">
        <v>45700</v>
      </c>
      <c r="D13" s="3">
        <v>5825</v>
      </c>
      <c r="E13" s="3">
        <v>24200</v>
      </c>
      <c r="F13" s="3">
        <v>901700</v>
      </c>
    </row>
    <row r="14" spans="1:6">
      <c r="A14" s="3">
        <v>1624562094</v>
      </c>
      <c r="B14" s="3">
        <v>21</v>
      </c>
      <c r="C14" s="3">
        <v>62700</v>
      </c>
      <c r="D14" s="3">
        <v>8925</v>
      </c>
      <c r="E14" s="3">
        <v>21200</v>
      </c>
      <c r="F14" s="3">
        <v>1400000</v>
      </c>
    </row>
    <row r="15" spans="1:6">
      <c r="A15" s="3">
        <v>1624487473</v>
      </c>
      <c r="B15" s="3">
        <v>15</v>
      </c>
      <c r="C15" s="3">
        <v>72100</v>
      </c>
      <c r="D15" s="3">
        <v>4548</v>
      </c>
      <c r="E15" s="3">
        <v>7180</v>
      </c>
      <c r="F15" s="3">
        <v>1500000</v>
      </c>
    </row>
    <row r="16" spans="1:6">
      <c r="A16" s="3">
        <v>1624487036</v>
      </c>
      <c r="B16" s="3">
        <v>15</v>
      </c>
      <c r="C16" s="3">
        <v>24500</v>
      </c>
      <c r="D16" s="3">
        <v>1037</v>
      </c>
      <c r="E16" s="3">
        <v>2754</v>
      </c>
      <c r="F16" s="3">
        <v>574800</v>
      </c>
    </row>
    <row r="17" spans="1:6">
      <c r="A17" s="3">
        <v>1623961812</v>
      </c>
      <c r="B17" s="3">
        <v>45</v>
      </c>
      <c r="C17" s="3">
        <v>79700</v>
      </c>
      <c r="D17" s="3">
        <v>3537</v>
      </c>
      <c r="E17" s="3">
        <v>11300</v>
      </c>
      <c r="F17" s="3">
        <v>6200000</v>
      </c>
    </row>
    <row r="18" spans="1:6">
      <c r="A18" s="3">
        <v>1623961469</v>
      </c>
      <c r="B18" s="3">
        <v>23</v>
      </c>
      <c r="C18" s="3">
        <v>88100</v>
      </c>
      <c r="D18" s="3">
        <v>2824</v>
      </c>
      <c r="E18" s="3">
        <v>7211</v>
      </c>
      <c r="F18" s="3">
        <v>1800000</v>
      </c>
    </row>
    <row r="19" spans="1:6">
      <c r="A19" s="3">
        <v>1623873546</v>
      </c>
      <c r="B19" s="3">
        <v>15</v>
      </c>
      <c r="C19" s="3">
        <v>32000</v>
      </c>
      <c r="D19" s="3">
        <v>1197</v>
      </c>
      <c r="E19" s="3">
        <v>5560</v>
      </c>
      <c r="F19" s="3">
        <v>830400</v>
      </c>
    </row>
    <row r="20" spans="1:6">
      <c r="A20" s="3">
        <v>1623442871</v>
      </c>
      <c r="B20" s="3">
        <v>30</v>
      </c>
      <c r="C20" s="3">
        <v>40800</v>
      </c>
      <c r="D20" s="3">
        <v>3261</v>
      </c>
      <c r="E20" s="3">
        <v>6065</v>
      </c>
      <c r="F20" s="3">
        <v>865700</v>
      </c>
    </row>
    <row r="21" spans="1:6">
      <c r="A21" s="3">
        <v>1623438226</v>
      </c>
      <c r="B21" s="3">
        <v>15</v>
      </c>
      <c r="C21" s="3">
        <v>58100</v>
      </c>
      <c r="D21" s="3">
        <v>2584</v>
      </c>
      <c r="E21" s="3">
        <v>9506</v>
      </c>
      <c r="F21" s="3">
        <v>1200000</v>
      </c>
    </row>
    <row r="22" spans="1:6">
      <c r="A22" s="3">
        <v>1623347793</v>
      </c>
      <c r="B22" s="3">
        <v>33</v>
      </c>
      <c r="C22" s="3">
        <v>205300</v>
      </c>
      <c r="D22" s="3">
        <v>2227</v>
      </c>
      <c r="E22" s="3">
        <v>5113</v>
      </c>
      <c r="F22" s="3">
        <v>3500000</v>
      </c>
    </row>
    <row r="23" spans="1:6">
      <c r="A23" s="3">
        <v>1623273296</v>
      </c>
      <c r="B23" s="3">
        <v>27</v>
      </c>
      <c r="C23" s="3">
        <v>48400</v>
      </c>
      <c r="D23" s="3">
        <v>988</v>
      </c>
      <c r="E23" s="3">
        <v>2702</v>
      </c>
      <c r="F23" s="3">
        <v>964800</v>
      </c>
    </row>
    <row r="24" spans="1:6">
      <c r="A24" s="3">
        <v>1623273155</v>
      </c>
      <c r="B24" s="3">
        <v>15</v>
      </c>
      <c r="C24" s="3">
        <v>33000</v>
      </c>
      <c r="D24" s="3">
        <v>1155</v>
      </c>
      <c r="E24" s="3">
        <v>2574</v>
      </c>
      <c r="F24" s="3">
        <v>954000</v>
      </c>
    </row>
    <row r="25" spans="1:6">
      <c r="A25" s="3">
        <v>1622854925</v>
      </c>
      <c r="B25" s="3">
        <v>44</v>
      </c>
      <c r="C25" s="3">
        <v>77500</v>
      </c>
      <c r="D25" s="3">
        <v>3299</v>
      </c>
      <c r="E25" s="3">
        <v>25700</v>
      </c>
      <c r="F25" s="3">
        <v>2200000</v>
      </c>
    </row>
    <row r="26" spans="1:6">
      <c r="A26" s="3">
        <v>1622745943</v>
      </c>
      <c r="B26" s="3">
        <v>12</v>
      </c>
      <c r="C26" s="3">
        <v>751300</v>
      </c>
      <c r="D26" s="3">
        <v>11800</v>
      </c>
      <c r="E26" s="3">
        <v>10500</v>
      </c>
      <c r="F26" s="3">
        <v>10400000</v>
      </c>
    </row>
    <row r="27" spans="1:6">
      <c r="A27" s="3">
        <v>1622253858</v>
      </c>
      <c r="B27" s="3">
        <v>60</v>
      </c>
      <c r="C27" s="3">
        <v>938300</v>
      </c>
      <c r="D27" s="3">
        <v>15900</v>
      </c>
      <c r="E27" s="3">
        <v>5849</v>
      </c>
      <c r="F27" s="3">
        <v>144900000</v>
      </c>
    </row>
    <row r="28" spans="1:6">
      <c r="A28" s="3">
        <v>1622225338</v>
      </c>
      <c r="B28" s="3">
        <v>15</v>
      </c>
      <c r="C28" s="3">
        <v>61800</v>
      </c>
      <c r="D28" s="3">
        <v>3484</v>
      </c>
      <c r="E28" s="3">
        <v>15200</v>
      </c>
      <c r="F28" s="3">
        <v>1300000</v>
      </c>
    </row>
    <row r="29" spans="1:6">
      <c r="A29" s="3">
        <v>1622142779</v>
      </c>
      <c r="B29" s="3">
        <v>19</v>
      </c>
      <c r="C29" s="3">
        <v>58600</v>
      </c>
      <c r="D29" s="3">
        <v>2906</v>
      </c>
      <c r="E29" s="3">
        <v>5388</v>
      </c>
      <c r="F29" s="3">
        <v>1800000</v>
      </c>
    </row>
    <row r="30" spans="1:6">
      <c r="A30" s="3">
        <v>1622068054</v>
      </c>
      <c r="B30" s="3">
        <v>21</v>
      </c>
      <c r="C30" s="3">
        <v>49000</v>
      </c>
      <c r="D30" s="3">
        <v>2007</v>
      </c>
      <c r="E30" s="3">
        <v>4397</v>
      </c>
      <c r="F30" s="3">
        <v>1400000</v>
      </c>
    </row>
    <row r="31" spans="1:6">
      <c r="A31" s="3">
        <v>1621892528</v>
      </c>
      <c r="B31" s="3">
        <v>19</v>
      </c>
      <c r="C31" s="3">
        <v>55600</v>
      </c>
      <c r="D31" s="3">
        <v>2087</v>
      </c>
      <c r="E31" s="3">
        <v>7672</v>
      </c>
      <c r="F31" s="3">
        <v>1200000</v>
      </c>
    </row>
    <row r="32" spans="1:6">
      <c r="A32" s="3">
        <v>1621445310</v>
      </c>
      <c r="B32" s="3">
        <v>15</v>
      </c>
      <c r="C32" s="3">
        <v>75500</v>
      </c>
      <c r="D32" s="3">
        <v>1761</v>
      </c>
      <c r="E32" s="3">
        <v>14200</v>
      </c>
      <c r="F32" s="3">
        <v>1800000</v>
      </c>
    </row>
    <row r="33" spans="1:6">
      <c r="A33" s="3">
        <v>1620257327</v>
      </c>
      <c r="B33" s="3">
        <v>15</v>
      </c>
      <c r="C33" s="3">
        <v>87700</v>
      </c>
      <c r="D33" s="3">
        <v>2207</v>
      </c>
      <c r="E33" s="3">
        <v>28200</v>
      </c>
      <c r="F33" s="3">
        <v>2100000</v>
      </c>
    </row>
    <row r="34" spans="1:6">
      <c r="A34" s="3">
        <v>1619807449</v>
      </c>
      <c r="B34" s="3">
        <v>60</v>
      </c>
      <c r="C34" s="3">
        <v>726700</v>
      </c>
      <c r="D34" s="3">
        <v>10800</v>
      </c>
      <c r="E34" s="3">
        <v>34800</v>
      </c>
      <c r="F34" s="3">
        <v>11100000</v>
      </c>
    </row>
    <row r="35" spans="1:6">
      <c r="A35" s="3">
        <v>1618579163</v>
      </c>
      <c r="B35" s="3">
        <v>20</v>
      </c>
      <c r="C35" s="3">
        <v>621600</v>
      </c>
      <c r="D35" s="3">
        <v>11600</v>
      </c>
      <c r="E35" s="3">
        <v>49300</v>
      </c>
      <c r="F35" s="3">
        <v>9800000</v>
      </c>
    </row>
    <row r="36" spans="1:6">
      <c r="A36" s="3">
        <v>1617917429</v>
      </c>
      <c r="B36" s="3">
        <v>15</v>
      </c>
      <c r="C36" s="3">
        <v>112400</v>
      </c>
      <c r="D36" s="3">
        <v>1446</v>
      </c>
      <c r="E36" s="3">
        <v>19800</v>
      </c>
      <c r="F36" s="3">
        <v>2500000</v>
      </c>
    </row>
    <row r="37" spans="1:6">
      <c r="A37" s="3">
        <v>1617393880</v>
      </c>
      <c r="B37" s="3">
        <v>15</v>
      </c>
      <c r="C37" s="3">
        <v>100900</v>
      </c>
      <c r="D37" s="3">
        <v>1374</v>
      </c>
      <c r="E37" s="3">
        <v>16400</v>
      </c>
      <c r="F37" s="3">
        <v>2700000</v>
      </c>
    </row>
    <row r="38" spans="1:6">
      <c r="A38" s="3">
        <v>1616708220</v>
      </c>
      <c r="B38" s="3">
        <v>59</v>
      </c>
      <c r="C38" s="3">
        <v>102000</v>
      </c>
      <c r="D38" s="3">
        <v>1553</v>
      </c>
      <c r="E38" s="3">
        <v>20600</v>
      </c>
      <c r="F38" s="3">
        <v>2400000</v>
      </c>
    </row>
    <row r="39" spans="1:6">
      <c r="A39" s="3">
        <v>1615922436</v>
      </c>
      <c r="B39" s="3">
        <v>15</v>
      </c>
      <c r="C39" s="3">
        <v>103500</v>
      </c>
      <c r="D39" s="3">
        <v>1990</v>
      </c>
      <c r="E39" s="3">
        <v>23900</v>
      </c>
      <c r="F39" s="3">
        <v>2000000</v>
      </c>
    </row>
    <row r="40" spans="1:6">
      <c r="A40" s="3">
        <v>1615844203</v>
      </c>
      <c r="B40" s="3">
        <v>30</v>
      </c>
      <c r="C40" s="3">
        <v>139100</v>
      </c>
      <c r="D40" s="3">
        <v>1694</v>
      </c>
      <c r="E40" s="3">
        <v>8453</v>
      </c>
      <c r="F40" s="3">
        <v>3700000</v>
      </c>
    </row>
    <row r="41" spans="1:6">
      <c r="A41" s="3">
        <v>1614801856</v>
      </c>
      <c r="B41" s="3">
        <v>40</v>
      </c>
      <c r="C41" s="3">
        <v>126600</v>
      </c>
      <c r="D41" s="3">
        <v>3407</v>
      </c>
      <c r="E41" s="3">
        <v>27800</v>
      </c>
      <c r="F41" s="3">
        <v>2300000</v>
      </c>
    </row>
    <row r="42" spans="1:6">
      <c r="A42" s="3">
        <v>1614801769</v>
      </c>
      <c r="B42" s="3">
        <v>59</v>
      </c>
      <c r="C42" s="3">
        <v>144400</v>
      </c>
      <c r="D42" s="3">
        <v>2174</v>
      </c>
      <c r="E42" s="3">
        <v>9957</v>
      </c>
      <c r="F42" s="3">
        <v>5500000</v>
      </c>
    </row>
    <row r="43" spans="1:6">
      <c r="A43" s="3">
        <v>1614569848</v>
      </c>
      <c r="B43" s="3">
        <v>41</v>
      </c>
      <c r="C43" s="3">
        <v>103800</v>
      </c>
      <c r="D43" s="3">
        <v>1485</v>
      </c>
      <c r="E43" s="3">
        <v>11500</v>
      </c>
      <c r="F43" s="3">
        <v>1500000</v>
      </c>
    </row>
    <row r="44" spans="1:6">
      <c r="A44" s="3">
        <v>1614293691</v>
      </c>
      <c r="B44" s="3">
        <v>23</v>
      </c>
      <c r="C44" s="3">
        <v>116800</v>
      </c>
      <c r="D44" s="3">
        <v>1141</v>
      </c>
      <c r="E44" s="3">
        <v>5160</v>
      </c>
      <c r="F44" s="3">
        <v>5100000</v>
      </c>
    </row>
    <row r="45" spans="1:6">
      <c r="A45" s="3">
        <v>1614190777</v>
      </c>
      <c r="B45" s="3">
        <v>22</v>
      </c>
      <c r="C45" s="3">
        <v>945300</v>
      </c>
      <c r="D45" s="3">
        <v>9136</v>
      </c>
      <c r="E45" s="3">
        <v>24100</v>
      </c>
      <c r="F45" s="3">
        <v>121900000</v>
      </c>
    </row>
    <row r="46" spans="1:6">
      <c r="A46" s="3">
        <v>1614190577</v>
      </c>
      <c r="B46" s="3">
        <v>20</v>
      </c>
      <c r="C46" s="3">
        <v>115100</v>
      </c>
      <c r="D46" s="3">
        <v>1344</v>
      </c>
      <c r="E46" s="3">
        <v>5125</v>
      </c>
      <c r="F46" s="3">
        <v>1800000</v>
      </c>
    </row>
    <row r="47" spans="1:6">
      <c r="A47" s="3">
        <v>1614190362</v>
      </c>
      <c r="B47" s="3">
        <v>18</v>
      </c>
      <c r="C47" s="3">
        <v>98000</v>
      </c>
      <c r="D47" s="3">
        <v>1227</v>
      </c>
      <c r="E47" s="3">
        <v>5948</v>
      </c>
      <c r="F47" s="3">
        <v>3400000</v>
      </c>
    </row>
    <row r="48" spans="1:6">
      <c r="A48" s="3">
        <v>1613611843</v>
      </c>
      <c r="B48" s="3">
        <v>15</v>
      </c>
      <c r="C48" s="3">
        <v>112700</v>
      </c>
      <c r="D48" s="3">
        <v>1369</v>
      </c>
      <c r="E48" s="3">
        <v>16700</v>
      </c>
      <c r="F48" s="3">
        <v>2000000</v>
      </c>
    </row>
    <row r="49" spans="1:6">
      <c r="A49" s="3">
        <v>1612989604</v>
      </c>
      <c r="B49" s="3">
        <v>15</v>
      </c>
      <c r="C49" s="3">
        <v>286900</v>
      </c>
      <c r="D49" s="3">
        <v>4163</v>
      </c>
      <c r="E49" s="3">
        <v>0</v>
      </c>
      <c r="F49" s="3">
        <v>8300000</v>
      </c>
    </row>
    <row r="50" spans="1:6">
      <c r="A50" s="3">
        <v>1612820027</v>
      </c>
      <c r="B50" s="3">
        <v>30</v>
      </c>
      <c r="C50" s="3">
        <v>96700</v>
      </c>
      <c r="D50" s="3">
        <v>1031</v>
      </c>
      <c r="E50" s="3">
        <v>21200</v>
      </c>
      <c r="F50" s="3">
        <v>1200000</v>
      </c>
    </row>
    <row r="51" spans="1:6">
      <c r="A51" s="3">
        <v>1612565689</v>
      </c>
      <c r="B51" s="3">
        <v>21</v>
      </c>
      <c r="C51" s="3">
        <v>77600</v>
      </c>
      <c r="D51" s="3">
        <v>871</v>
      </c>
      <c r="E51" s="3">
        <v>11700</v>
      </c>
      <c r="F51" s="3">
        <v>1900000</v>
      </c>
    </row>
    <row r="52" spans="1:6">
      <c r="A52" s="3">
        <v>1612478274</v>
      </c>
      <c r="B52" s="3">
        <v>12</v>
      </c>
      <c r="C52" s="3">
        <v>115800</v>
      </c>
      <c r="D52" s="3">
        <v>1241</v>
      </c>
      <c r="E52" s="3">
        <v>8174</v>
      </c>
      <c r="F52" s="3">
        <v>3200000</v>
      </c>
    </row>
    <row r="53" spans="1:6">
      <c r="A53" s="3">
        <v>1612200738</v>
      </c>
      <c r="B53" s="3">
        <v>15</v>
      </c>
      <c r="C53" s="3">
        <v>158800</v>
      </c>
      <c r="D53" s="3">
        <v>1240</v>
      </c>
      <c r="E53" s="3">
        <v>16600</v>
      </c>
      <c r="F53" s="3">
        <v>2400000</v>
      </c>
    </row>
    <row r="54" spans="1:6">
      <c r="A54" s="3">
        <v>1611954151</v>
      </c>
      <c r="B54" s="3">
        <v>29</v>
      </c>
      <c r="C54" s="3">
        <v>230300</v>
      </c>
      <c r="D54" s="3">
        <v>1423</v>
      </c>
      <c r="E54" s="3">
        <v>11900</v>
      </c>
      <c r="F54" s="3">
        <v>2500000</v>
      </c>
    </row>
    <row r="55" spans="1:6">
      <c r="A55" s="3">
        <v>1611687907</v>
      </c>
      <c r="B55" s="3">
        <v>15</v>
      </c>
      <c r="C55" s="3">
        <v>152000</v>
      </c>
      <c r="D55" s="3">
        <v>1895</v>
      </c>
      <c r="E55" s="3">
        <v>15600</v>
      </c>
      <c r="F55" s="3">
        <v>2400000</v>
      </c>
    </row>
    <row r="56" spans="1:6">
      <c r="A56" s="3">
        <v>1609464681</v>
      </c>
      <c r="B56" s="3">
        <v>59</v>
      </c>
      <c r="C56" s="3">
        <v>268800</v>
      </c>
      <c r="D56" s="3">
        <v>3819</v>
      </c>
      <c r="E56" s="3">
        <v>47400</v>
      </c>
      <c r="F56" s="3">
        <v>4200000</v>
      </c>
    </row>
    <row r="57" spans="1:6">
      <c r="A57" s="3">
        <v>1609178834</v>
      </c>
      <c r="B57" s="3">
        <v>26</v>
      </c>
      <c r="C57" s="3">
        <v>1600000</v>
      </c>
      <c r="D57" s="3">
        <v>11300</v>
      </c>
      <c r="E57" s="3">
        <v>44300</v>
      </c>
      <c r="F57" s="3">
        <v>118000000</v>
      </c>
    </row>
    <row r="58" spans="1:6">
      <c r="A58" s="3">
        <v>1608666916</v>
      </c>
      <c r="B58" s="3">
        <v>15</v>
      </c>
      <c r="C58" s="3">
        <v>459300</v>
      </c>
      <c r="D58" s="3">
        <v>1796</v>
      </c>
      <c r="E58" s="3">
        <v>15900</v>
      </c>
      <c r="F58" s="3">
        <v>7700000</v>
      </c>
    </row>
    <row r="59" spans="1:6">
      <c r="A59" s="3">
        <v>1608326522</v>
      </c>
      <c r="B59" s="3">
        <v>20</v>
      </c>
      <c r="C59" s="3">
        <v>529600</v>
      </c>
      <c r="D59" s="3">
        <v>9285</v>
      </c>
      <c r="E59" s="3">
        <v>18500</v>
      </c>
      <c r="F59" s="3">
        <v>32500000</v>
      </c>
    </row>
    <row r="60" spans="1:6">
      <c r="A60" s="3">
        <v>1608060262</v>
      </c>
      <c r="B60" s="3">
        <v>44</v>
      </c>
      <c r="C60" s="3">
        <v>522500</v>
      </c>
      <c r="D60" s="3">
        <v>3674</v>
      </c>
      <c r="E60" s="3">
        <v>20800</v>
      </c>
      <c r="F60" s="3">
        <v>129100000</v>
      </c>
    </row>
    <row r="61" spans="1:6">
      <c r="A61" s="3">
        <v>1603992884</v>
      </c>
      <c r="B61" s="3">
        <v>15</v>
      </c>
      <c r="C61" s="3">
        <v>344300</v>
      </c>
      <c r="D61" s="3">
        <v>6166</v>
      </c>
      <c r="E61" s="3">
        <v>70800</v>
      </c>
      <c r="F61" s="3">
        <v>4600000</v>
      </c>
    </row>
    <row r="62" spans="1:6">
      <c r="A62" s="3">
        <v>1602212662</v>
      </c>
      <c r="B62" s="3">
        <v>15</v>
      </c>
      <c r="C62" s="3">
        <v>1700000</v>
      </c>
      <c r="D62" s="3">
        <v>17700</v>
      </c>
      <c r="E62" s="3">
        <v>38800</v>
      </c>
      <c r="F62" s="3">
        <v>49800000</v>
      </c>
    </row>
    <row r="63" spans="1:6">
      <c r="A63" s="3">
        <v>1602101153</v>
      </c>
      <c r="B63" s="3">
        <v>15</v>
      </c>
      <c r="C63" s="3">
        <v>585000</v>
      </c>
      <c r="D63" s="3">
        <v>6649</v>
      </c>
      <c r="E63" s="3">
        <v>19200</v>
      </c>
      <c r="F63" s="3">
        <v>111500000</v>
      </c>
    </row>
    <row r="64" spans="1:6">
      <c r="A64" s="3">
        <v>1601517318</v>
      </c>
      <c r="B64" s="3">
        <v>44</v>
      </c>
      <c r="C64" s="3">
        <v>492700</v>
      </c>
      <c r="D64" s="3">
        <v>10700</v>
      </c>
      <c r="E64" s="3">
        <v>20900</v>
      </c>
      <c r="F64" s="3">
        <v>7100000</v>
      </c>
    </row>
    <row r="65" spans="1:6">
      <c r="A65" s="3">
        <v>1600557155</v>
      </c>
      <c r="B65" s="3">
        <v>54</v>
      </c>
      <c r="C65" s="3">
        <v>3000000</v>
      </c>
      <c r="D65" s="3">
        <v>246400</v>
      </c>
      <c r="E65" s="3">
        <v>235400</v>
      </c>
      <c r="F65" s="3">
        <v>25500000</v>
      </c>
    </row>
    <row r="66" spans="1:6">
      <c r="A66" s="3">
        <v>1599847750</v>
      </c>
      <c r="B66" s="3">
        <v>48</v>
      </c>
      <c r="C66" s="3">
        <v>330300</v>
      </c>
      <c r="D66" s="3">
        <v>5348</v>
      </c>
      <c r="E66" s="3">
        <v>30500</v>
      </c>
      <c r="F66" s="3">
        <v>3800000</v>
      </c>
    </row>
    <row r="67" spans="1:6">
      <c r="A67" s="3">
        <v>1599072465</v>
      </c>
      <c r="B67" s="3">
        <v>43</v>
      </c>
      <c r="C67" s="3">
        <v>502100</v>
      </c>
      <c r="D67" s="3">
        <v>12900</v>
      </c>
      <c r="E67" s="3">
        <v>35600</v>
      </c>
      <c r="F67" s="3">
        <v>7100000</v>
      </c>
    </row>
    <row r="68" spans="1:6">
      <c r="A68" s="3">
        <v>1598051458</v>
      </c>
      <c r="B68" s="3">
        <v>32</v>
      </c>
      <c r="C68" s="3">
        <v>265400</v>
      </c>
      <c r="D68" s="3">
        <v>6122</v>
      </c>
      <c r="E68" s="3">
        <v>22100</v>
      </c>
      <c r="F68" s="3">
        <v>3300000</v>
      </c>
    </row>
    <row r="69" spans="1:6">
      <c r="A69" s="3">
        <v>1596290340</v>
      </c>
      <c r="B69" s="3">
        <v>59</v>
      </c>
      <c r="C69" s="3">
        <v>6100000</v>
      </c>
      <c r="D69" s="3">
        <v>455700</v>
      </c>
      <c r="E69" s="3">
        <v>325500</v>
      </c>
      <c r="F69" s="3">
        <v>56900000</v>
      </c>
    </row>
    <row r="70" spans="1:6">
      <c r="A70" s="3">
        <v>1595888417</v>
      </c>
      <c r="B70" s="3">
        <v>14</v>
      </c>
      <c r="C70" s="3">
        <v>1900000</v>
      </c>
      <c r="D70" s="3">
        <v>33700</v>
      </c>
      <c r="E70" s="3">
        <v>31300</v>
      </c>
      <c r="F70" s="3">
        <v>106800000</v>
      </c>
    </row>
    <row r="71" spans="1:6">
      <c r="A71" s="3">
        <v>1593477967</v>
      </c>
      <c r="B71" s="3">
        <v>16</v>
      </c>
      <c r="C71" s="3">
        <v>981500</v>
      </c>
      <c r="D71" s="3">
        <v>9023</v>
      </c>
      <c r="E71" s="3">
        <v>41400</v>
      </c>
      <c r="F71" s="3">
        <v>9800000</v>
      </c>
    </row>
    <row r="72" spans="1:6">
      <c r="A72" s="3">
        <v>1592846336</v>
      </c>
      <c r="B72" s="3">
        <v>55</v>
      </c>
      <c r="C72" s="3">
        <v>508800</v>
      </c>
      <c r="D72" s="3">
        <v>7497</v>
      </c>
      <c r="E72" s="3">
        <v>18600</v>
      </c>
      <c r="F72" s="3">
        <v>5700000</v>
      </c>
    </row>
    <row r="73" spans="1:6">
      <c r="A73" s="3">
        <v>1592509248</v>
      </c>
      <c r="B73" s="3">
        <v>15</v>
      </c>
      <c r="C73" s="3">
        <v>220300</v>
      </c>
      <c r="D73" s="3">
        <v>5966</v>
      </c>
      <c r="E73" s="3">
        <v>11100</v>
      </c>
      <c r="F73" s="3">
        <v>4200000</v>
      </c>
    </row>
    <row r="74" spans="1:6">
      <c r="A74" s="3">
        <v>1591040777</v>
      </c>
      <c r="B74" s="3">
        <v>15</v>
      </c>
      <c r="C74" s="3">
        <v>443600</v>
      </c>
      <c r="D74" s="3">
        <v>12200</v>
      </c>
      <c r="E74" s="3">
        <v>26100</v>
      </c>
      <c r="F74" s="3">
        <v>5100000</v>
      </c>
    </row>
    <row r="75" spans="1:6">
      <c r="A75" s="3">
        <v>1590882467</v>
      </c>
      <c r="B75" s="3">
        <v>15</v>
      </c>
      <c r="C75" s="3">
        <v>1100000</v>
      </c>
      <c r="D75" s="3">
        <v>13600</v>
      </c>
      <c r="E75" s="3">
        <v>40900</v>
      </c>
      <c r="F75" s="3">
        <v>10900000</v>
      </c>
    </row>
    <row r="76" spans="1:6">
      <c r="A76" s="3">
        <v>1588971047</v>
      </c>
      <c r="B76" s="3">
        <v>30</v>
      </c>
      <c r="C76" s="3">
        <v>4900000</v>
      </c>
      <c r="D76" s="3">
        <v>81400</v>
      </c>
      <c r="E76" s="3">
        <v>470300</v>
      </c>
      <c r="F76" s="3">
        <v>49200000</v>
      </c>
    </row>
    <row r="77" spans="1:6">
      <c r="A77" s="3">
        <v>1588212173</v>
      </c>
      <c r="B77" s="3">
        <v>44</v>
      </c>
      <c r="C77" s="3">
        <v>537200</v>
      </c>
      <c r="D77" s="3">
        <v>5867</v>
      </c>
      <c r="E77" s="3">
        <v>18800</v>
      </c>
      <c r="F77" s="3">
        <v>12000000</v>
      </c>
    </row>
    <row r="78" spans="1:6">
      <c r="A78" s="3">
        <v>1587441449</v>
      </c>
      <c r="B78" s="3">
        <v>48</v>
      </c>
      <c r="C78" s="3">
        <v>551000</v>
      </c>
      <c r="D78" s="3">
        <v>5099</v>
      </c>
      <c r="E78" s="3">
        <v>17100</v>
      </c>
      <c r="F78" s="3">
        <v>7300000</v>
      </c>
    </row>
    <row r="79" spans="1:6">
      <c r="A79" s="3">
        <v>1586912225</v>
      </c>
      <c r="B79" s="3">
        <v>15</v>
      </c>
      <c r="C79" s="3">
        <v>415100</v>
      </c>
      <c r="D79" s="3">
        <v>4279</v>
      </c>
      <c r="E79" s="3">
        <v>10900</v>
      </c>
      <c r="F79" s="3">
        <v>17900000</v>
      </c>
    </row>
    <row r="80" spans="1:6">
      <c r="A80" s="3">
        <v>1586809297</v>
      </c>
      <c r="B80" s="3">
        <v>31</v>
      </c>
      <c r="C80" s="3">
        <v>617500</v>
      </c>
      <c r="D80" s="3">
        <v>6819</v>
      </c>
      <c r="E80" s="3">
        <v>9802</v>
      </c>
      <c r="F80" s="3">
        <v>10300000</v>
      </c>
    </row>
    <row r="81" spans="1:6">
      <c r="A81" s="3">
        <v>1584992742</v>
      </c>
      <c r="B81" s="3">
        <v>16</v>
      </c>
      <c r="C81" s="3">
        <v>323500</v>
      </c>
      <c r="D81" s="3">
        <v>2610</v>
      </c>
      <c r="E81" s="3">
        <v>15100</v>
      </c>
      <c r="F81" s="3">
        <v>4000000</v>
      </c>
    </row>
    <row r="82" spans="1:6">
      <c r="A82" s="3">
        <v>1583689617</v>
      </c>
      <c r="B82" s="3">
        <v>48</v>
      </c>
      <c r="C82" s="3">
        <v>972000</v>
      </c>
      <c r="D82" s="3">
        <v>6064</v>
      </c>
      <c r="E82" s="3">
        <v>17300</v>
      </c>
      <c r="F82" s="3">
        <v>10800000</v>
      </c>
    </row>
    <row r="83" spans="1:6">
      <c r="A83" s="3">
        <v>1583274394</v>
      </c>
      <c r="B83" s="3">
        <v>8</v>
      </c>
      <c r="C83" s="3">
        <v>1100000</v>
      </c>
      <c r="D83" s="3">
        <v>5109</v>
      </c>
      <c r="E83" s="3">
        <v>9932</v>
      </c>
      <c r="F83" s="3">
        <v>12200000</v>
      </c>
    </row>
    <row r="84" spans="1:6">
      <c r="A84" s="3">
        <v>1582563393</v>
      </c>
      <c r="B84" s="3">
        <v>33</v>
      </c>
      <c r="C84" s="3">
        <v>780200</v>
      </c>
      <c r="D84" s="3">
        <v>6986</v>
      </c>
      <c r="E84" s="3">
        <v>13900</v>
      </c>
      <c r="F84" s="3">
        <v>8600000</v>
      </c>
    </row>
    <row r="85" spans="1:6">
      <c r="A85" s="3">
        <v>1577206644</v>
      </c>
      <c r="B85" s="3">
        <v>29</v>
      </c>
      <c r="C85" s="3">
        <v>434900</v>
      </c>
      <c r="D85" s="3">
        <v>6826</v>
      </c>
      <c r="E85" s="3">
        <v>161100</v>
      </c>
      <c r="F85" s="3">
        <v>5800000</v>
      </c>
    </row>
    <row r="86" spans="1:6">
      <c r="A86" s="3">
        <v>1577087527</v>
      </c>
      <c r="B86" s="3">
        <v>59</v>
      </c>
      <c r="C86" s="3">
        <v>269200</v>
      </c>
      <c r="D86" s="3">
        <v>5061</v>
      </c>
      <c r="E86" s="3">
        <v>32400</v>
      </c>
      <c r="F86" s="3">
        <v>4300000</v>
      </c>
    </row>
    <row r="87" spans="1:6">
      <c r="A87" s="3">
        <v>1575920671</v>
      </c>
      <c r="B87" s="3">
        <v>28</v>
      </c>
      <c r="C87" s="3">
        <v>428100</v>
      </c>
      <c r="D87" s="3">
        <v>4864</v>
      </c>
      <c r="E87" s="3">
        <v>22900</v>
      </c>
      <c r="F87" s="3">
        <v>5600000</v>
      </c>
    </row>
    <row r="88" spans="1:6">
      <c r="A88" s="3">
        <v>1575680139</v>
      </c>
      <c r="B88" s="3">
        <v>30</v>
      </c>
      <c r="C88" s="3">
        <v>327600</v>
      </c>
      <c r="D88" s="3">
        <v>3258</v>
      </c>
      <c r="E88" s="3">
        <v>13300</v>
      </c>
      <c r="F88" s="3">
        <v>3300000</v>
      </c>
    </row>
    <row r="89" spans="1:6">
      <c r="A89" s="3">
        <v>1574216407</v>
      </c>
      <c r="B89" s="3">
        <v>18</v>
      </c>
      <c r="C89" s="3">
        <v>598800</v>
      </c>
      <c r="D89" s="3">
        <v>5671</v>
      </c>
      <c r="E89" s="3">
        <v>13700</v>
      </c>
      <c r="F89" s="3">
        <v>6500000</v>
      </c>
    </row>
    <row r="90" spans="1:6">
      <c r="A90" s="3">
        <v>1573593462</v>
      </c>
      <c r="B90" s="3">
        <v>59</v>
      </c>
      <c r="C90" s="3">
        <v>315500</v>
      </c>
      <c r="D90" s="3">
        <v>2507</v>
      </c>
      <c r="E90" s="3">
        <v>7007</v>
      </c>
      <c r="F90" s="3">
        <v>3200000</v>
      </c>
    </row>
    <row r="91" spans="1:6">
      <c r="A91" s="3">
        <v>1573153386</v>
      </c>
      <c r="B91" s="3">
        <v>40</v>
      </c>
      <c r="C91" s="3">
        <v>219400</v>
      </c>
      <c r="D91" s="3">
        <v>1489</v>
      </c>
      <c r="E91" s="3">
        <v>4700</v>
      </c>
      <c r="F91" s="3">
        <v>2400000</v>
      </c>
    </row>
    <row r="92" spans="1:6">
      <c r="A92" s="3">
        <v>1572122285</v>
      </c>
      <c r="B92" s="3">
        <v>9</v>
      </c>
      <c r="C92" s="3">
        <v>331200</v>
      </c>
      <c r="D92" s="3">
        <v>4605</v>
      </c>
      <c r="E92" s="3">
        <v>6088</v>
      </c>
      <c r="F92" s="3">
        <v>4200000</v>
      </c>
    </row>
    <row r="93" spans="1:6">
      <c r="A93" s="3">
        <v>1571854325</v>
      </c>
      <c r="B93" s="3">
        <v>20</v>
      </c>
      <c r="C93" s="3">
        <v>288300</v>
      </c>
      <c r="D93" s="3">
        <v>5483</v>
      </c>
      <c r="E93" s="3">
        <v>5109</v>
      </c>
      <c r="F93" s="3">
        <v>3200000</v>
      </c>
    </row>
    <row r="94" spans="1:6">
      <c r="A94" s="3">
        <v>1571445154</v>
      </c>
      <c r="B94" s="3">
        <v>11</v>
      </c>
      <c r="C94" s="3">
        <v>1800000</v>
      </c>
      <c r="D94" s="3">
        <v>31500</v>
      </c>
      <c r="E94" s="3">
        <v>7809</v>
      </c>
      <c r="F94" s="3">
        <v>18100000</v>
      </c>
    </row>
    <row r="95" spans="1:6">
      <c r="A95" s="3">
        <v>1571262214</v>
      </c>
      <c r="B95" s="3">
        <v>55</v>
      </c>
      <c r="C95" s="3">
        <v>142700</v>
      </c>
      <c r="D95" s="3">
        <v>1160</v>
      </c>
      <c r="E95" s="3">
        <v>2254</v>
      </c>
      <c r="F95" s="3">
        <v>1900000</v>
      </c>
    </row>
    <row r="96" spans="1:6">
      <c r="A96" s="3">
        <v>1570649815</v>
      </c>
      <c r="B96" s="3">
        <v>59</v>
      </c>
      <c r="C96" s="3">
        <v>184400</v>
      </c>
      <c r="D96" s="3">
        <v>1369</v>
      </c>
      <c r="E96" s="3">
        <v>2891</v>
      </c>
      <c r="F96" s="3">
        <v>2000000</v>
      </c>
    </row>
    <row r="97" spans="1:6">
      <c r="A97" s="3">
        <v>1570210020</v>
      </c>
      <c r="B97" s="3">
        <v>32</v>
      </c>
      <c r="C97" s="3">
        <v>186000</v>
      </c>
      <c r="D97" s="3">
        <v>1330</v>
      </c>
      <c r="E97" s="3">
        <v>3102</v>
      </c>
      <c r="F97" s="3">
        <v>1900000</v>
      </c>
    </row>
    <row r="98" spans="1:6">
      <c r="A98" s="3">
        <v>1570143682</v>
      </c>
      <c r="B98" s="3">
        <v>58</v>
      </c>
      <c r="C98" s="3">
        <v>146300</v>
      </c>
      <c r="D98" s="3">
        <v>908</v>
      </c>
      <c r="E98" s="3">
        <v>1779</v>
      </c>
      <c r="F98" s="3">
        <v>1700000</v>
      </c>
    </row>
    <row r="99" spans="1:6">
      <c r="A99" s="3">
        <v>1570129827</v>
      </c>
      <c r="B99" s="3">
        <v>59</v>
      </c>
      <c r="C99" s="3">
        <v>174700</v>
      </c>
      <c r="D99" s="3">
        <v>884</v>
      </c>
      <c r="E99" s="3">
        <v>1820</v>
      </c>
      <c r="F99" s="3">
        <v>1600000</v>
      </c>
    </row>
    <row r="100" spans="1:6">
      <c r="A100" s="3">
        <v>1568845056</v>
      </c>
      <c r="B100" s="3">
        <v>14</v>
      </c>
      <c r="C100" s="3">
        <v>250000</v>
      </c>
      <c r="D100" s="3">
        <v>2860</v>
      </c>
      <c r="E100" s="3">
        <v>3407</v>
      </c>
      <c r="F100" s="3">
        <v>2400000</v>
      </c>
    </row>
    <row r="101" spans="1:6">
      <c r="A101" s="3">
        <v>1568073572</v>
      </c>
      <c r="B101" s="3">
        <v>25</v>
      </c>
      <c r="C101" s="3">
        <v>149500</v>
      </c>
      <c r="D101" s="3">
        <v>1832</v>
      </c>
      <c r="E101" s="3">
        <v>3100</v>
      </c>
      <c r="F101" s="3">
        <v>1800000</v>
      </c>
    </row>
  </sheetData>
  <pageMargins left="0" right="0" top="0" bottom="0" header="0" footer="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F101"/>
  <sheetViews>
    <sheetView workbookViewId="0">
      <selection activeCell="C1" sqref="C1:C1048576"/>
    </sheetView>
  </sheetViews>
  <sheetFormatPr defaultColWidth="12.5703125" defaultRowHeight="15.75" customHeight="1"/>
  <sheetData>
    <row r="1" spans="1:6">
      <c r="A1" s="3" t="s">
        <v>146</v>
      </c>
      <c r="B1" s="3" t="s">
        <v>147</v>
      </c>
      <c r="C1" s="3" t="s">
        <v>148</v>
      </c>
      <c r="D1" s="3" t="s">
        <v>149</v>
      </c>
      <c r="E1" s="3" t="s">
        <v>150</v>
      </c>
      <c r="F1" s="3" t="s">
        <v>151</v>
      </c>
    </row>
    <row r="2" spans="1:6">
      <c r="A2" s="3">
        <v>1629569756</v>
      </c>
      <c r="B2" s="3">
        <v>14</v>
      </c>
      <c r="C2" s="3">
        <v>289300</v>
      </c>
      <c r="D2" s="3">
        <v>2860</v>
      </c>
      <c r="E2" s="3">
        <v>3340</v>
      </c>
      <c r="F2" s="3">
        <v>1300000</v>
      </c>
    </row>
    <row r="3" spans="1:6">
      <c r="A3" s="3">
        <v>1629340827</v>
      </c>
      <c r="B3" s="3">
        <v>70</v>
      </c>
      <c r="C3" s="3">
        <v>143500</v>
      </c>
      <c r="D3" s="3">
        <v>3832</v>
      </c>
      <c r="E3" s="3">
        <v>1549</v>
      </c>
      <c r="F3" s="3">
        <v>574900</v>
      </c>
    </row>
    <row r="4" spans="1:6">
      <c r="A4" s="3">
        <v>1629487766</v>
      </c>
      <c r="B4" s="3">
        <v>70</v>
      </c>
      <c r="C4" s="3">
        <v>76000</v>
      </c>
      <c r="D4" s="3">
        <v>704</v>
      </c>
      <c r="E4" s="3">
        <v>1344</v>
      </c>
      <c r="F4" s="3">
        <v>355800</v>
      </c>
    </row>
    <row r="5" spans="1:6">
      <c r="A5" s="3">
        <v>1629227066</v>
      </c>
      <c r="B5" s="3">
        <v>8</v>
      </c>
      <c r="C5" s="3">
        <v>1100000</v>
      </c>
      <c r="D5" s="3">
        <v>21200</v>
      </c>
      <c r="E5" s="3">
        <v>8186</v>
      </c>
      <c r="F5" s="3">
        <v>6100000</v>
      </c>
    </row>
    <row r="6" spans="1:6">
      <c r="A6" s="3">
        <v>1629220590</v>
      </c>
      <c r="B6" s="3">
        <v>10</v>
      </c>
      <c r="C6" s="3">
        <v>592800</v>
      </c>
      <c r="D6" s="3">
        <v>1206</v>
      </c>
      <c r="E6" s="3">
        <v>4703</v>
      </c>
      <c r="F6" s="3">
        <v>4900000</v>
      </c>
    </row>
    <row r="7" spans="1:6">
      <c r="A7" s="3">
        <v>1629047266</v>
      </c>
      <c r="B7" s="3">
        <v>23</v>
      </c>
      <c r="C7" s="3">
        <v>6600000</v>
      </c>
      <c r="D7" s="3">
        <v>110800</v>
      </c>
      <c r="E7" s="3">
        <v>58700</v>
      </c>
      <c r="F7" s="3">
        <v>27000000</v>
      </c>
    </row>
    <row r="8" spans="1:6">
      <c r="A8" s="3">
        <v>1629139933</v>
      </c>
      <c r="B8" s="3">
        <v>21</v>
      </c>
      <c r="C8" s="3">
        <v>326</v>
      </c>
      <c r="D8" s="3">
        <v>3</v>
      </c>
      <c r="E8" s="3">
        <v>31</v>
      </c>
      <c r="F8" s="3">
        <v>8689</v>
      </c>
    </row>
    <row r="9" spans="1:6">
      <c r="A9" s="3">
        <v>1628726088</v>
      </c>
      <c r="B9" s="3">
        <v>13</v>
      </c>
      <c r="C9" s="3">
        <v>26600</v>
      </c>
      <c r="D9" s="3">
        <v>730</v>
      </c>
      <c r="E9" s="3">
        <v>528</v>
      </c>
      <c r="F9" s="3">
        <v>260200</v>
      </c>
    </row>
    <row r="10" spans="1:6">
      <c r="A10" s="3">
        <v>1628623449</v>
      </c>
      <c r="B10" s="3">
        <v>30</v>
      </c>
      <c r="C10" s="3">
        <v>46400</v>
      </c>
      <c r="D10" s="3">
        <v>2578</v>
      </c>
      <c r="E10" s="3">
        <v>413</v>
      </c>
      <c r="F10" s="3">
        <v>620100</v>
      </c>
    </row>
    <row r="11" spans="1:6">
      <c r="A11" s="3">
        <v>1628101726</v>
      </c>
      <c r="B11" s="3">
        <v>23</v>
      </c>
      <c r="C11" s="3">
        <v>1300000</v>
      </c>
      <c r="D11" s="3">
        <v>28600</v>
      </c>
      <c r="E11" s="3">
        <v>46700</v>
      </c>
      <c r="F11" s="3">
        <v>4200000</v>
      </c>
    </row>
    <row r="12" spans="1:6">
      <c r="A12" s="3">
        <v>1628612790</v>
      </c>
      <c r="B12" s="3">
        <v>18</v>
      </c>
      <c r="C12" s="3">
        <v>5500000</v>
      </c>
      <c r="D12" s="3">
        <v>19000</v>
      </c>
      <c r="E12" s="3">
        <v>153700</v>
      </c>
      <c r="F12" s="3">
        <v>38900000</v>
      </c>
    </row>
    <row r="13" spans="1:6">
      <c r="A13" s="3">
        <v>1628539600</v>
      </c>
      <c r="B13" s="3">
        <v>46</v>
      </c>
      <c r="C13" s="3">
        <v>40600</v>
      </c>
      <c r="D13" s="3">
        <v>1765</v>
      </c>
      <c r="E13" s="3">
        <v>6552</v>
      </c>
      <c r="F13" s="3">
        <v>963000</v>
      </c>
    </row>
    <row r="14" spans="1:6">
      <c r="A14" s="3">
        <v>1628314974</v>
      </c>
      <c r="B14" s="3">
        <v>14</v>
      </c>
      <c r="C14" s="3">
        <v>16400000</v>
      </c>
      <c r="D14" s="3">
        <v>134600</v>
      </c>
      <c r="E14" s="3">
        <v>126100</v>
      </c>
      <c r="F14" s="3">
        <v>107100000</v>
      </c>
    </row>
    <row r="15" spans="1:6">
      <c r="A15" s="3">
        <v>1627533634</v>
      </c>
      <c r="B15" s="3">
        <v>129</v>
      </c>
      <c r="C15" s="3">
        <v>5000000</v>
      </c>
      <c r="D15" s="3">
        <v>14700</v>
      </c>
      <c r="E15" s="3">
        <v>31900</v>
      </c>
      <c r="F15" s="3">
        <v>29800000</v>
      </c>
    </row>
    <row r="16" spans="1:6">
      <c r="A16" s="3">
        <v>1628018217</v>
      </c>
      <c r="B16" s="3">
        <v>17</v>
      </c>
      <c r="C16" s="3">
        <v>1928</v>
      </c>
      <c r="D16" s="3">
        <v>47</v>
      </c>
      <c r="E16" s="3">
        <v>85</v>
      </c>
      <c r="F16" s="3">
        <v>22300</v>
      </c>
    </row>
    <row r="17" spans="1:6">
      <c r="A17" s="3">
        <v>1627929380</v>
      </c>
      <c r="B17" s="3">
        <v>14</v>
      </c>
      <c r="C17" s="3">
        <v>2500000</v>
      </c>
      <c r="D17" s="3">
        <v>95600</v>
      </c>
      <c r="E17" s="3">
        <v>40600</v>
      </c>
      <c r="F17" s="3">
        <v>11000000</v>
      </c>
    </row>
    <row r="18" spans="1:6">
      <c r="A18" s="3">
        <v>1628034718</v>
      </c>
      <c r="B18" s="3">
        <v>11</v>
      </c>
      <c r="C18" s="3">
        <v>15100000</v>
      </c>
      <c r="D18" s="3">
        <v>326100</v>
      </c>
      <c r="E18" s="3">
        <v>136800</v>
      </c>
      <c r="F18" s="3">
        <v>67300000</v>
      </c>
    </row>
    <row r="19" spans="1:6">
      <c r="A19" s="3">
        <v>1628085492</v>
      </c>
      <c r="B19" s="3">
        <v>129</v>
      </c>
      <c r="C19" s="3">
        <v>136200</v>
      </c>
      <c r="D19" s="3">
        <v>3385</v>
      </c>
      <c r="E19" s="3">
        <v>1569</v>
      </c>
      <c r="F19" s="3">
        <v>686300</v>
      </c>
    </row>
    <row r="20" spans="1:6">
      <c r="A20" s="3">
        <v>1627860455</v>
      </c>
      <c r="B20" s="3">
        <v>10</v>
      </c>
      <c r="C20" s="3">
        <v>268900</v>
      </c>
      <c r="D20" s="3">
        <v>538</v>
      </c>
      <c r="E20" s="3">
        <v>2381</v>
      </c>
      <c r="F20" s="3">
        <v>1100000</v>
      </c>
    </row>
    <row r="21" spans="1:6">
      <c r="A21" s="3">
        <v>1627937648</v>
      </c>
      <c r="B21" s="3">
        <v>18</v>
      </c>
      <c r="C21" s="3">
        <v>285000</v>
      </c>
      <c r="D21" s="3">
        <v>2433</v>
      </c>
      <c r="E21" s="3">
        <v>4399</v>
      </c>
      <c r="F21" s="3">
        <v>1200000</v>
      </c>
    </row>
    <row r="22" spans="1:6">
      <c r="A22" s="3">
        <v>1627713129</v>
      </c>
      <c r="B22" s="3">
        <v>67</v>
      </c>
      <c r="C22" s="3">
        <v>771100</v>
      </c>
      <c r="D22" s="3">
        <v>79800</v>
      </c>
      <c r="E22" s="3">
        <v>14400</v>
      </c>
      <c r="F22" s="3">
        <v>5300000</v>
      </c>
    </row>
    <row r="23" spans="1:6">
      <c r="A23" s="3">
        <v>1626993981</v>
      </c>
      <c r="B23" s="3">
        <v>27</v>
      </c>
      <c r="C23" s="3">
        <v>5000000</v>
      </c>
      <c r="D23" s="3">
        <v>21700</v>
      </c>
      <c r="E23" s="3">
        <v>25000</v>
      </c>
      <c r="F23" s="3">
        <v>27800000</v>
      </c>
    </row>
    <row r="24" spans="1:6">
      <c r="A24" s="3">
        <v>1626829576</v>
      </c>
      <c r="B24" s="3">
        <v>17</v>
      </c>
      <c r="C24" s="3">
        <v>3400000</v>
      </c>
      <c r="D24" s="3">
        <v>30900</v>
      </c>
      <c r="E24" s="3">
        <v>36000</v>
      </c>
      <c r="F24" s="3">
        <v>14400000</v>
      </c>
    </row>
    <row r="25" spans="1:6">
      <c r="A25" s="3">
        <v>1626622824</v>
      </c>
      <c r="B25" s="3">
        <v>9</v>
      </c>
      <c r="C25" s="3">
        <v>323700</v>
      </c>
      <c r="D25" s="3">
        <v>1932</v>
      </c>
      <c r="E25" s="3">
        <v>2103</v>
      </c>
      <c r="F25" s="3">
        <v>2000000</v>
      </c>
    </row>
    <row r="26" spans="1:6">
      <c r="A26" s="3">
        <v>1626046069</v>
      </c>
      <c r="B26" s="3">
        <v>14</v>
      </c>
      <c r="C26" s="3">
        <v>1300000</v>
      </c>
      <c r="D26" s="3">
        <v>25000</v>
      </c>
      <c r="E26" s="3">
        <v>27400</v>
      </c>
      <c r="F26" s="3">
        <v>4700000</v>
      </c>
    </row>
    <row r="27" spans="1:6">
      <c r="A27" s="3">
        <v>1626475965</v>
      </c>
      <c r="B27" s="3">
        <v>38</v>
      </c>
      <c r="C27" s="3">
        <v>1400000</v>
      </c>
      <c r="D27" s="3">
        <v>16700</v>
      </c>
      <c r="E27" s="3">
        <v>14900</v>
      </c>
      <c r="F27" s="3">
        <v>6500000</v>
      </c>
    </row>
    <row r="28" spans="1:6">
      <c r="A28" s="3">
        <v>1626368582</v>
      </c>
      <c r="B28" s="3">
        <v>23</v>
      </c>
      <c r="C28" s="3">
        <v>897700</v>
      </c>
      <c r="D28" s="3">
        <v>5822</v>
      </c>
      <c r="E28" s="3">
        <v>30100</v>
      </c>
      <c r="F28" s="3">
        <v>7500000</v>
      </c>
    </row>
    <row r="29" spans="1:6">
      <c r="A29" s="3">
        <v>1623543841</v>
      </c>
      <c r="B29" s="3">
        <v>10</v>
      </c>
      <c r="C29" s="3">
        <v>21000000</v>
      </c>
      <c r="D29" s="3">
        <v>1900000</v>
      </c>
      <c r="E29" s="3">
        <v>186700</v>
      </c>
      <c r="F29" s="3">
        <v>141700000</v>
      </c>
    </row>
    <row r="30" spans="1:6">
      <c r="A30" s="3">
        <v>1626229050</v>
      </c>
      <c r="B30" s="3">
        <v>41</v>
      </c>
      <c r="C30" s="3">
        <v>3200000</v>
      </c>
      <c r="D30" s="3">
        <v>146900</v>
      </c>
      <c r="E30" s="3">
        <v>40900</v>
      </c>
      <c r="F30" s="3">
        <v>26000000</v>
      </c>
    </row>
    <row r="31" spans="1:6">
      <c r="A31" s="3">
        <v>1626098478</v>
      </c>
      <c r="B31" s="3">
        <v>10</v>
      </c>
      <c r="C31" s="3">
        <v>19900</v>
      </c>
      <c r="D31" s="3">
        <v>367</v>
      </c>
      <c r="E31" s="3">
        <v>1344</v>
      </c>
      <c r="F31" s="3">
        <v>180600</v>
      </c>
    </row>
    <row r="32" spans="1:6">
      <c r="A32" s="3">
        <v>1625775059</v>
      </c>
      <c r="B32" s="3">
        <v>59</v>
      </c>
      <c r="C32" s="3">
        <v>26600</v>
      </c>
      <c r="D32" s="3">
        <v>400</v>
      </c>
      <c r="E32" s="3">
        <v>615</v>
      </c>
      <c r="F32" s="3">
        <v>198900</v>
      </c>
    </row>
    <row r="33" spans="1:6">
      <c r="A33" s="3">
        <v>1625996730</v>
      </c>
      <c r="B33" s="3">
        <v>21</v>
      </c>
      <c r="C33" s="3">
        <v>12100</v>
      </c>
      <c r="D33" s="3">
        <v>74</v>
      </c>
      <c r="E33" s="3">
        <v>882</v>
      </c>
      <c r="F33" s="3">
        <v>150400</v>
      </c>
    </row>
    <row r="34" spans="1:6">
      <c r="A34" s="3">
        <v>1625797292</v>
      </c>
      <c r="B34" s="3">
        <v>15</v>
      </c>
      <c r="C34" s="3">
        <v>4159</v>
      </c>
      <c r="D34" s="3">
        <v>30</v>
      </c>
      <c r="E34" s="3">
        <v>68</v>
      </c>
      <c r="F34" s="3">
        <v>453300</v>
      </c>
    </row>
    <row r="35" spans="1:6">
      <c r="A35" s="3">
        <v>1625696460</v>
      </c>
      <c r="B35" s="3">
        <v>38</v>
      </c>
      <c r="C35" s="3">
        <v>43400</v>
      </c>
      <c r="D35" s="3">
        <v>4180</v>
      </c>
      <c r="E35" s="3">
        <v>1783</v>
      </c>
      <c r="F35" s="3">
        <v>425000</v>
      </c>
    </row>
    <row r="36" spans="1:6">
      <c r="A36" s="3">
        <v>1624917511</v>
      </c>
      <c r="B36" s="3">
        <v>30</v>
      </c>
      <c r="C36" s="3">
        <v>17300</v>
      </c>
      <c r="D36" s="3">
        <v>187</v>
      </c>
      <c r="E36" s="3">
        <v>260</v>
      </c>
      <c r="F36" s="3">
        <v>523900</v>
      </c>
    </row>
    <row r="37" spans="1:6">
      <c r="A37" s="3">
        <v>1624995014</v>
      </c>
      <c r="B37" s="3">
        <v>11</v>
      </c>
      <c r="C37" s="3">
        <v>321800</v>
      </c>
      <c r="D37" s="3">
        <v>2041</v>
      </c>
      <c r="E37" s="3">
        <v>2988</v>
      </c>
      <c r="F37" s="3">
        <v>3000000</v>
      </c>
    </row>
    <row r="38" spans="1:6">
      <c r="A38" s="3">
        <v>1625072552</v>
      </c>
      <c r="B38" s="3">
        <v>14</v>
      </c>
      <c r="C38" s="3">
        <v>1200000</v>
      </c>
      <c r="D38" s="3">
        <v>5580</v>
      </c>
      <c r="E38" s="3">
        <v>11400</v>
      </c>
      <c r="F38" s="3">
        <v>12300000</v>
      </c>
    </row>
    <row r="39" spans="1:6">
      <c r="A39" s="3">
        <v>1625058746</v>
      </c>
      <c r="B39" s="3">
        <v>14</v>
      </c>
      <c r="C39" s="3">
        <v>831100</v>
      </c>
      <c r="D39" s="3">
        <v>3263</v>
      </c>
      <c r="E39" s="3">
        <v>6128</v>
      </c>
      <c r="F39" s="3">
        <v>9800000</v>
      </c>
    </row>
    <row r="40" spans="1:6">
      <c r="A40" s="3">
        <v>1624763645</v>
      </c>
      <c r="B40" s="3">
        <v>15</v>
      </c>
      <c r="C40" s="3">
        <v>941200</v>
      </c>
      <c r="D40" s="3">
        <v>4361</v>
      </c>
      <c r="E40" s="3">
        <v>7391</v>
      </c>
      <c r="F40" s="3">
        <v>3600000</v>
      </c>
    </row>
    <row r="41" spans="1:6">
      <c r="A41" s="3">
        <v>1624637151</v>
      </c>
      <c r="B41" s="3">
        <v>56</v>
      </c>
      <c r="C41" s="3">
        <v>45600</v>
      </c>
      <c r="D41" s="3">
        <v>213</v>
      </c>
      <c r="E41" s="3">
        <v>406</v>
      </c>
      <c r="F41" s="3">
        <v>510500</v>
      </c>
    </row>
    <row r="42" spans="1:6">
      <c r="A42" s="3">
        <v>1624636825</v>
      </c>
      <c r="B42" s="3">
        <v>26</v>
      </c>
      <c r="C42" s="3">
        <v>1369</v>
      </c>
      <c r="D42" s="3">
        <v>10</v>
      </c>
      <c r="E42" s="3">
        <v>58</v>
      </c>
      <c r="F42" s="3">
        <v>28700</v>
      </c>
    </row>
    <row r="43" spans="1:6">
      <c r="A43" s="3">
        <v>1624415180</v>
      </c>
      <c r="B43" s="3">
        <v>57</v>
      </c>
      <c r="C43" s="3">
        <v>874100</v>
      </c>
      <c r="D43" s="3">
        <v>13000</v>
      </c>
      <c r="E43" s="3">
        <v>5257</v>
      </c>
      <c r="F43" s="3">
        <v>3500000</v>
      </c>
    </row>
    <row r="44" spans="1:6">
      <c r="A44" s="3">
        <v>1624389093</v>
      </c>
      <c r="B44" s="3">
        <v>15</v>
      </c>
      <c r="C44" s="3">
        <v>22600</v>
      </c>
      <c r="D44" s="3">
        <v>215</v>
      </c>
      <c r="E44" s="3">
        <v>808</v>
      </c>
      <c r="F44" s="3">
        <v>549900</v>
      </c>
    </row>
    <row r="45" spans="1:6">
      <c r="A45" s="3">
        <v>1624300579</v>
      </c>
      <c r="B45" s="3">
        <v>27</v>
      </c>
      <c r="C45" s="3">
        <v>6600000</v>
      </c>
      <c r="D45" s="3">
        <v>272500</v>
      </c>
      <c r="E45" s="3">
        <v>152200</v>
      </c>
      <c r="F45" s="3">
        <v>33000000</v>
      </c>
    </row>
    <row r="46" spans="1:6">
      <c r="A46" s="3">
        <v>1624052324</v>
      </c>
      <c r="B46" s="3">
        <v>40</v>
      </c>
      <c r="C46" s="3">
        <v>16700</v>
      </c>
      <c r="D46" s="3">
        <v>335</v>
      </c>
      <c r="E46" s="3">
        <v>584</v>
      </c>
      <c r="F46" s="3">
        <v>107400</v>
      </c>
    </row>
    <row r="47" spans="1:6">
      <c r="A47" s="3">
        <v>1623985045</v>
      </c>
      <c r="B47" s="3">
        <v>15</v>
      </c>
      <c r="C47" s="3">
        <v>275800</v>
      </c>
      <c r="D47" s="3">
        <v>10400</v>
      </c>
      <c r="E47" s="3">
        <v>5293</v>
      </c>
      <c r="F47" s="3">
        <v>1800000</v>
      </c>
    </row>
    <row r="48" spans="1:6">
      <c r="A48" s="3">
        <v>1623267354</v>
      </c>
      <c r="B48" s="3">
        <v>15</v>
      </c>
      <c r="C48" s="3">
        <v>38700</v>
      </c>
      <c r="D48" s="3">
        <v>138</v>
      </c>
      <c r="E48" s="3">
        <v>351</v>
      </c>
      <c r="F48" s="3">
        <v>1100000</v>
      </c>
    </row>
    <row r="49" spans="1:6">
      <c r="A49" s="3">
        <v>1622844736</v>
      </c>
      <c r="B49" s="3">
        <v>14</v>
      </c>
      <c r="C49" s="3">
        <v>2100000</v>
      </c>
      <c r="D49" s="3">
        <v>67200</v>
      </c>
      <c r="E49" s="3">
        <v>12400</v>
      </c>
      <c r="F49" s="3">
        <v>14400000</v>
      </c>
    </row>
    <row r="50" spans="1:6">
      <c r="A50" s="3">
        <v>1622839955</v>
      </c>
      <c r="B50" s="3">
        <v>15</v>
      </c>
      <c r="C50" s="3">
        <v>81200</v>
      </c>
      <c r="D50" s="3">
        <v>483</v>
      </c>
      <c r="E50" s="3">
        <v>2312</v>
      </c>
      <c r="F50" s="3">
        <v>1000000</v>
      </c>
    </row>
    <row r="51" spans="1:6">
      <c r="A51" s="3">
        <v>1623129748</v>
      </c>
      <c r="B51" s="3">
        <v>8</v>
      </c>
      <c r="C51" s="3">
        <v>8700000</v>
      </c>
      <c r="D51" s="3">
        <v>76200</v>
      </c>
      <c r="E51" s="3">
        <v>69200</v>
      </c>
      <c r="F51" s="3">
        <v>41500000</v>
      </c>
    </row>
    <row r="52" spans="1:6">
      <c r="A52" s="3">
        <v>1622739612</v>
      </c>
      <c r="B52" s="3">
        <v>12</v>
      </c>
      <c r="C52" s="3">
        <v>3500000</v>
      </c>
      <c r="D52" s="3">
        <v>28400</v>
      </c>
      <c r="E52" s="3">
        <v>45000</v>
      </c>
      <c r="F52" s="3">
        <v>25900000</v>
      </c>
    </row>
    <row r="53" spans="1:6">
      <c r="A53" s="3">
        <v>1622788418</v>
      </c>
      <c r="B53" s="3">
        <v>44</v>
      </c>
      <c r="C53" s="3">
        <v>712800</v>
      </c>
      <c r="D53" s="3">
        <v>1534</v>
      </c>
      <c r="E53" s="3">
        <v>3560</v>
      </c>
      <c r="F53" s="3">
        <v>5400000</v>
      </c>
    </row>
    <row r="54" spans="1:6">
      <c r="A54" s="3">
        <v>1622788316</v>
      </c>
      <c r="B54" s="3">
        <v>44</v>
      </c>
      <c r="C54" s="3">
        <v>652700</v>
      </c>
      <c r="D54" s="3">
        <v>5041</v>
      </c>
      <c r="E54" s="3">
        <v>12900</v>
      </c>
      <c r="F54" s="3">
        <v>7200000</v>
      </c>
    </row>
    <row r="55" spans="1:6">
      <c r="A55" s="3">
        <v>1622506611</v>
      </c>
      <c r="B55" s="3">
        <v>25</v>
      </c>
      <c r="C55" s="3">
        <v>181800</v>
      </c>
      <c r="D55" s="3">
        <v>17300</v>
      </c>
      <c r="E55" s="3">
        <v>3222</v>
      </c>
      <c r="F55" s="3">
        <v>758200</v>
      </c>
    </row>
    <row r="56" spans="1:6">
      <c r="A56" s="3">
        <v>1622506701</v>
      </c>
      <c r="B56" s="3">
        <v>25</v>
      </c>
      <c r="C56" s="3">
        <v>58300</v>
      </c>
      <c r="D56" s="3">
        <v>766</v>
      </c>
      <c r="E56" s="3">
        <v>1322</v>
      </c>
      <c r="F56" s="3">
        <v>630000</v>
      </c>
    </row>
    <row r="57" spans="1:6">
      <c r="A57" s="3">
        <v>1621879725</v>
      </c>
      <c r="B57" s="3">
        <v>24</v>
      </c>
      <c r="C57" s="3">
        <v>2200000</v>
      </c>
      <c r="D57" s="3">
        <v>50000</v>
      </c>
      <c r="E57" s="3">
        <v>53800</v>
      </c>
      <c r="F57" s="3">
        <v>9300000</v>
      </c>
    </row>
    <row r="58" spans="1:6">
      <c r="A58" s="3">
        <v>1621944989</v>
      </c>
      <c r="B58" s="3">
        <v>21</v>
      </c>
      <c r="C58" s="3">
        <v>922400</v>
      </c>
      <c r="D58" s="3">
        <v>12600</v>
      </c>
      <c r="E58" s="3">
        <v>77200</v>
      </c>
      <c r="F58" s="3">
        <v>5000000</v>
      </c>
    </row>
    <row r="59" spans="1:6">
      <c r="A59" s="3">
        <v>1622079687</v>
      </c>
      <c r="B59" s="3">
        <v>47</v>
      </c>
      <c r="C59" s="3">
        <v>1000000</v>
      </c>
      <c r="D59" s="3">
        <v>6067</v>
      </c>
      <c r="E59" s="3">
        <v>8713</v>
      </c>
      <c r="F59" s="3">
        <v>5800000</v>
      </c>
    </row>
    <row r="60" spans="1:6">
      <c r="A60" s="3">
        <v>1621856386</v>
      </c>
      <c r="B60" s="3">
        <v>50</v>
      </c>
      <c r="C60" s="3">
        <v>2000000</v>
      </c>
      <c r="D60" s="3">
        <v>7653</v>
      </c>
      <c r="E60" s="3">
        <v>44500</v>
      </c>
      <c r="F60" s="3">
        <v>25400000</v>
      </c>
    </row>
    <row r="61" spans="1:6">
      <c r="A61" s="3">
        <v>1621857710</v>
      </c>
      <c r="B61" s="3">
        <v>50</v>
      </c>
      <c r="C61" s="3">
        <v>161100</v>
      </c>
      <c r="D61" s="3">
        <v>304</v>
      </c>
      <c r="E61" s="3">
        <v>1595</v>
      </c>
      <c r="F61" s="3">
        <v>6100000</v>
      </c>
    </row>
    <row r="62" spans="1:6">
      <c r="A62" s="3">
        <v>1621857917</v>
      </c>
      <c r="B62" s="3">
        <v>15</v>
      </c>
      <c r="C62" s="3">
        <v>1073</v>
      </c>
      <c r="D62" s="3">
        <v>51</v>
      </c>
      <c r="E62" s="3">
        <v>81</v>
      </c>
      <c r="F62" s="3">
        <v>40500</v>
      </c>
    </row>
    <row r="63" spans="1:6">
      <c r="A63" s="3">
        <v>1621693854</v>
      </c>
      <c r="B63" s="3">
        <v>11</v>
      </c>
      <c r="C63" s="3">
        <v>23900000</v>
      </c>
      <c r="D63" s="3">
        <v>85800</v>
      </c>
      <c r="E63" s="3">
        <v>274500</v>
      </c>
      <c r="F63" s="3">
        <v>181100000</v>
      </c>
    </row>
    <row r="64" spans="1:6">
      <c r="A64" s="3">
        <v>1620067555</v>
      </c>
      <c r="B64" s="3">
        <v>15</v>
      </c>
      <c r="C64" s="3">
        <v>1600000</v>
      </c>
      <c r="D64" s="3">
        <v>3147</v>
      </c>
      <c r="E64" s="3">
        <v>3845</v>
      </c>
      <c r="F64" s="3">
        <v>5600000</v>
      </c>
    </row>
    <row r="65" spans="1:6">
      <c r="A65" s="3">
        <v>1621320144</v>
      </c>
      <c r="B65" s="3">
        <v>18</v>
      </c>
      <c r="C65" s="3">
        <v>12500000</v>
      </c>
      <c r="D65" s="3">
        <v>265000</v>
      </c>
      <c r="E65" s="3">
        <v>167500</v>
      </c>
      <c r="F65" s="3">
        <v>49500000</v>
      </c>
    </row>
    <row r="66" spans="1:6">
      <c r="A66" s="3">
        <v>1621019163</v>
      </c>
      <c r="B66" s="3">
        <v>58</v>
      </c>
      <c r="C66" s="3">
        <v>3600000</v>
      </c>
      <c r="D66" s="3">
        <v>99300</v>
      </c>
      <c r="E66" s="3">
        <v>107800</v>
      </c>
      <c r="F66" s="3">
        <v>23000000</v>
      </c>
    </row>
    <row r="67" spans="1:6">
      <c r="A67" s="3">
        <v>1620963605</v>
      </c>
      <c r="B67" s="3">
        <v>15</v>
      </c>
      <c r="C67" s="3">
        <v>1200000</v>
      </c>
      <c r="D67" s="3">
        <v>40700</v>
      </c>
      <c r="E67" s="3">
        <v>18100</v>
      </c>
      <c r="F67" s="3">
        <v>4400000</v>
      </c>
    </row>
    <row r="68" spans="1:6">
      <c r="A68" s="3">
        <v>1620518503</v>
      </c>
      <c r="B68" s="3">
        <v>14</v>
      </c>
      <c r="C68" s="3">
        <v>453500</v>
      </c>
      <c r="D68" s="3">
        <v>6593</v>
      </c>
      <c r="E68" s="3">
        <v>5971</v>
      </c>
      <c r="F68" s="3">
        <v>1400000</v>
      </c>
    </row>
    <row r="69" spans="1:6">
      <c r="A69" s="3">
        <v>1620232944</v>
      </c>
      <c r="B69" s="3">
        <v>43</v>
      </c>
      <c r="C69" s="3">
        <v>5300000</v>
      </c>
      <c r="D69" s="3">
        <v>409900</v>
      </c>
      <c r="E69" s="3">
        <v>108600</v>
      </c>
      <c r="F69" s="3">
        <v>17800000</v>
      </c>
    </row>
    <row r="70" spans="1:6">
      <c r="A70" s="3">
        <v>1620063229</v>
      </c>
      <c r="B70" s="3">
        <v>15</v>
      </c>
      <c r="C70" s="3">
        <v>1300000</v>
      </c>
      <c r="D70" s="3">
        <v>41800</v>
      </c>
      <c r="E70" s="3">
        <v>12700</v>
      </c>
      <c r="F70" s="3">
        <v>8600000</v>
      </c>
    </row>
    <row r="71" spans="1:6">
      <c r="A71" s="3">
        <v>1620236484</v>
      </c>
      <c r="B71" s="3">
        <v>10</v>
      </c>
      <c r="C71" s="3">
        <v>2900000</v>
      </c>
      <c r="D71" s="3">
        <v>10200</v>
      </c>
      <c r="E71" s="3">
        <v>10700</v>
      </c>
      <c r="F71" s="3">
        <v>10900000</v>
      </c>
    </row>
    <row r="72" spans="1:6">
      <c r="A72" s="3">
        <v>1620056739</v>
      </c>
      <c r="B72" s="3">
        <v>11</v>
      </c>
      <c r="C72" s="3">
        <v>928700</v>
      </c>
      <c r="D72" s="3">
        <v>46800</v>
      </c>
      <c r="E72" s="3">
        <v>39400</v>
      </c>
      <c r="F72" s="3">
        <v>5300000</v>
      </c>
    </row>
    <row r="73" spans="1:6">
      <c r="A73" s="3">
        <v>1619551234</v>
      </c>
      <c r="B73" s="3">
        <v>11</v>
      </c>
      <c r="C73" s="3">
        <v>1100000</v>
      </c>
      <c r="D73" s="3">
        <v>1629</v>
      </c>
      <c r="E73" s="3">
        <v>3503</v>
      </c>
      <c r="F73" s="3">
        <v>6200000</v>
      </c>
    </row>
    <row r="74" spans="1:6">
      <c r="A74" s="3">
        <v>1619739657</v>
      </c>
      <c r="B74" s="3">
        <v>15</v>
      </c>
      <c r="C74" s="3">
        <v>5300000</v>
      </c>
      <c r="D74" s="3">
        <v>208800</v>
      </c>
      <c r="E74" s="3">
        <v>74900</v>
      </c>
      <c r="F74" s="3">
        <v>19500000</v>
      </c>
    </row>
    <row r="75" spans="1:6">
      <c r="A75" s="3">
        <v>1619465316</v>
      </c>
      <c r="B75" s="3">
        <v>6</v>
      </c>
      <c r="C75" s="3">
        <v>1800000</v>
      </c>
      <c r="D75" s="3">
        <v>37700</v>
      </c>
      <c r="E75" s="3">
        <v>24900</v>
      </c>
      <c r="F75" s="3">
        <v>11000000</v>
      </c>
    </row>
    <row r="76" spans="1:6">
      <c r="A76" s="3">
        <v>1619325139</v>
      </c>
      <c r="B76" s="3">
        <v>23</v>
      </c>
      <c r="C76" s="3">
        <v>3300000</v>
      </c>
      <c r="D76" s="3">
        <v>30400</v>
      </c>
      <c r="E76" s="3">
        <v>40700</v>
      </c>
      <c r="F76" s="3">
        <v>13100000</v>
      </c>
    </row>
    <row r="77" spans="1:6">
      <c r="A77" s="3">
        <v>1619066662</v>
      </c>
      <c r="B77" s="3">
        <v>8</v>
      </c>
      <c r="C77" s="3">
        <v>1500000</v>
      </c>
      <c r="D77" s="3">
        <v>62500</v>
      </c>
      <c r="E77" s="3">
        <v>25200</v>
      </c>
      <c r="F77" s="3">
        <v>9300000</v>
      </c>
    </row>
    <row r="78" spans="1:6">
      <c r="A78" s="3">
        <v>1617834359</v>
      </c>
      <c r="B78" s="3">
        <v>36</v>
      </c>
      <c r="C78" s="3">
        <v>1500000</v>
      </c>
      <c r="D78" s="3">
        <v>38600</v>
      </c>
      <c r="E78" s="3">
        <v>23400</v>
      </c>
      <c r="F78" s="3">
        <v>6100000</v>
      </c>
    </row>
    <row r="79" spans="1:6">
      <c r="A79" s="3">
        <v>1619027258</v>
      </c>
      <c r="B79" s="3">
        <v>15</v>
      </c>
      <c r="C79" s="3">
        <v>4200000</v>
      </c>
      <c r="D79" s="3">
        <v>213700</v>
      </c>
      <c r="E79" s="3">
        <v>88300</v>
      </c>
      <c r="F79" s="3">
        <v>13300000</v>
      </c>
    </row>
    <row r="80" spans="1:6">
      <c r="A80" s="3">
        <v>1618466637</v>
      </c>
      <c r="B80" s="3">
        <v>42</v>
      </c>
      <c r="C80" s="3">
        <v>2100000</v>
      </c>
      <c r="D80" s="3">
        <v>26000</v>
      </c>
      <c r="E80" s="3">
        <v>31000</v>
      </c>
      <c r="F80" s="3">
        <v>9500000</v>
      </c>
    </row>
    <row r="81" spans="1:6">
      <c r="A81" s="3">
        <v>1617910551</v>
      </c>
      <c r="B81" s="3">
        <v>9</v>
      </c>
      <c r="C81" s="3">
        <v>5200000</v>
      </c>
      <c r="D81" s="3">
        <v>112600</v>
      </c>
      <c r="E81" s="3">
        <v>96600</v>
      </c>
      <c r="F81" s="3">
        <v>22900000</v>
      </c>
    </row>
    <row r="82" spans="1:6">
      <c r="A82" s="3">
        <v>1618712478</v>
      </c>
      <c r="B82" s="3">
        <v>11</v>
      </c>
      <c r="C82" s="3">
        <v>16000000</v>
      </c>
      <c r="D82" s="3">
        <v>248300</v>
      </c>
      <c r="E82" s="3">
        <v>134400</v>
      </c>
      <c r="F82" s="3">
        <v>91500000</v>
      </c>
    </row>
    <row r="83" spans="1:6">
      <c r="A83" s="3">
        <v>1618610832</v>
      </c>
      <c r="B83" s="3">
        <v>15</v>
      </c>
      <c r="C83" s="3">
        <v>284400</v>
      </c>
      <c r="D83" s="3">
        <v>1380</v>
      </c>
      <c r="E83" s="3">
        <v>1283</v>
      </c>
      <c r="F83" s="3">
        <v>1500000</v>
      </c>
    </row>
    <row r="84" spans="1:6">
      <c r="A84" s="3">
        <v>1617990182</v>
      </c>
      <c r="B84" s="3">
        <v>12</v>
      </c>
      <c r="C84" s="3">
        <v>2000000</v>
      </c>
      <c r="D84" s="3">
        <v>13600</v>
      </c>
      <c r="E84" s="3">
        <v>4425</v>
      </c>
      <c r="F84" s="3">
        <v>9000000</v>
      </c>
    </row>
    <row r="85" spans="1:6">
      <c r="A85" s="3">
        <v>1617232767</v>
      </c>
      <c r="B85" s="3">
        <v>53</v>
      </c>
      <c r="C85" s="3">
        <v>475400</v>
      </c>
      <c r="D85" s="3">
        <v>4665</v>
      </c>
      <c r="E85" s="3">
        <v>2246</v>
      </c>
      <c r="F85" s="3">
        <v>1700000</v>
      </c>
    </row>
    <row r="86" spans="1:6">
      <c r="A86" s="3">
        <v>1617885703</v>
      </c>
      <c r="B86" s="3">
        <v>16</v>
      </c>
      <c r="C86" s="3">
        <v>1300000</v>
      </c>
      <c r="D86" s="3">
        <v>29600</v>
      </c>
      <c r="E86" s="3">
        <v>17900</v>
      </c>
      <c r="F86" s="3">
        <v>4300000</v>
      </c>
    </row>
    <row r="87" spans="1:6">
      <c r="A87" s="3">
        <v>1616517792</v>
      </c>
      <c r="B87" s="3">
        <v>24</v>
      </c>
      <c r="C87" s="3">
        <v>594000</v>
      </c>
      <c r="D87" s="3">
        <v>5097</v>
      </c>
      <c r="E87" s="3">
        <v>8489</v>
      </c>
      <c r="F87" s="3">
        <v>6400000</v>
      </c>
    </row>
    <row r="88" spans="1:6">
      <c r="A88" s="3">
        <v>1616192551</v>
      </c>
      <c r="B88" s="3">
        <v>11</v>
      </c>
      <c r="C88" s="3">
        <v>3100000</v>
      </c>
      <c r="D88" s="3">
        <v>11200</v>
      </c>
      <c r="E88" s="3">
        <v>15800</v>
      </c>
      <c r="F88" s="3">
        <v>12900000</v>
      </c>
    </row>
    <row r="89" spans="1:6">
      <c r="A89" s="3">
        <v>1615763969</v>
      </c>
      <c r="B89" s="3">
        <v>12</v>
      </c>
      <c r="C89" s="3">
        <v>4700000</v>
      </c>
      <c r="D89" s="3">
        <v>186100</v>
      </c>
      <c r="E89" s="3">
        <v>80400</v>
      </c>
      <c r="F89" s="3">
        <v>20600000</v>
      </c>
    </row>
    <row r="90" spans="1:6">
      <c r="A90" s="3">
        <v>1615753622</v>
      </c>
      <c r="B90" s="3">
        <v>58</v>
      </c>
      <c r="C90" s="3">
        <v>293800</v>
      </c>
      <c r="D90" s="3">
        <v>18300</v>
      </c>
      <c r="E90" s="3">
        <v>6947</v>
      </c>
      <c r="F90" s="3">
        <v>1400000</v>
      </c>
    </row>
    <row r="91" spans="1:6">
      <c r="A91" s="3">
        <v>1615515465</v>
      </c>
      <c r="B91" s="3">
        <v>30</v>
      </c>
      <c r="C91" s="3">
        <v>3800000</v>
      </c>
      <c r="D91" s="3">
        <v>112500</v>
      </c>
      <c r="E91" s="3">
        <v>100300</v>
      </c>
      <c r="F91" s="3">
        <v>21700000</v>
      </c>
    </row>
    <row r="92" spans="1:6">
      <c r="A92" s="3">
        <v>1614884467</v>
      </c>
      <c r="B92" s="3">
        <v>15</v>
      </c>
      <c r="C92" s="3">
        <v>1300000</v>
      </c>
      <c r="D92" s="3">
        <v>17800</v>
      </c>
      <c r="E92" s="3">
        <v>12000</v>
      </c>
      <c r="F92" s="3">
        <v>6900000</v>
      </c>
    </row>
    <row r="93" spans="1:6">
      <c r="A93" s="3">
        <v>1614212175</v>
      </c>
      <c r="B93" s="3">
        <v>9</v>
      </c>
      <c r="C93" s="3">
        <v>3600000</v>
      </c>
      <c r="D93" s="3">
        <v>334400</v>
      </c>
      <c r="E93" s="3">
        <v>81300</v>
      </c>
      <c r="F93" s="3">
        <v>21500000</v>
      </c>
    </row>
    <row r="94" spans="1:6">
      <c r="A94" s="3">
        <v>1614135911</v>
      </c>
      <c r="B94" s="3">
        <v>15</v>
      </c>
      <c r="C94" s="3">
        <v>768900</v>
      </c>
      <c r="D94" s="3">
        <v>18000</v>
      </c>
      <c r="E94" s="3">
        <v>11000</v>
      </c>
      <c r="F94" s="3">
        <v>3000000</v>
      </c>
    </row>
    <row r="95" spans="1:6">
      <c r="A95" s="3">
        <v>1614385684</v>
      </c>
      <c r="B95" s="3">
        <v>10</v>
      </c>
      <c r="C95" s="3">
        <v>7528</v>
      </c>
      <c r="D95" s="3">
        <v>32</v>
      </c>
      <c r="E95" s="3">
        <v>119</v>
      </c>
      <c r="F95" s="3">
        <v>73800</v>
      </c>
    </row>
    <row r="96" spans="1:6">
      <c r="A96" s="3">
        <v>1614393156</v>
      </c>
      <c r="B96" s="3">
        <v>13</v>
      </c>
      <c r="C96" s="3">
        <v>2000000</v>
      </c>
      <c r="D96" s="3">
        <v>66200</v>
      </c>
      <c r="E96" s="3">
        <v>33600</v>
      </c>
      <c r="F96" s="3">
        <v>10500000</v>
      </c>
    </row>
    <row r="97" spans="1:6">
      <c r="A97" s="3">
        <v>1613929461</v>
      </c>
      <c r="B97" s="3">
        <v>46</v>
      </c>
      <c r="C97" s="3">
        <v>1900000</v>
      </c>
      <c r="D97" s="3">
        <v>61500</v>
      </c>
      <c r="E97" s="3">
        <v>12000</v>
      </c>
      <c r="F97" s="3">
        <v>10500000</v>
      </c>
    </row>
    <row r="98" spans="1:6">
      <c r="A98" s="3">
        <v>1612925466</v>
      </c>
      <c r="B98" s="3">
        <v>15</v>
      </c>
      <c r="C98" s="3">
        <v>2300000</v>
      </c>
      <c r="D98" s="3">
        <v>48000</v>
      </c>
      <c r="E98" s="3">
        <v>55500</v>
      </c>
      <c r="F98" s="3">
        <v>8100000</v>
      </c>
    </row>
    <row r="99" spans="1:6">
      <c r="A99" s="3">
        <v>1614035380</v>
      </c>
      <c r="B99" s="3">
        <v>10</v>
      </c>
      <c r="C99" s="3">
        <v>453600</v>
      </c>
      <c r="D99" s="3">
        <v>6579</v>
      </c>
      <c r="E99" s="3">
        <v>6616</v>
      </c>
      <c r="F99" s="3">
        <v>1200000</v>
      </c>
    </row>
    <row r="100" spans="1:6">
      <c r="A100" s="3">
        <v>1614310036</v>
      </c>
      <c r="B100" s="3">
        <v>13</v>
      </c>
      <c r="C100" s="3">
        <v>249600</v>
      </c>
      <c r="D100" s="3">
        <v>17900</v>
      </c>
      <c r="E100" s="3">
        <v>6757</v>
      </c>
      <c r="F100" s="3">
        <v>1700000</v>
      </c>
    </row>
    <row r="101" spans="1:6">
      <c r="A101" s="3">
        <v>1613779052</v>
      </c>
      <c r="B101" s="3">
        <v>30</v>
      </c>
      <c r="C101" s="3">
        <v>1100000</v>
      </c>
      <c r="D101" s="3">
        <v>31700</v>
      </c>
      <c r="E101" s="3">
        <v>10700</v>
      </c>
      <c r="F101" s="3">
        <v>5000000</v>
      </c>
    </row>
  </sheetData>
  <pageMargins left="0" right="0" top="0" bottom="0" header="0" footer="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2026-10-05T15:22:20Z</dcterms:created>
  <dcterms:modified xsi:type="dcterms:W3CDTF">2026-10-06T13:08:32Z</dcterms:modified>
  <cp:category/>
  <cp:contentStatus/>
</cp:coreProperties>
</file>